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Reddy\Downloads\"/>
    </mc:Choice>
  </mc:AlternateContent>
  <bookViews>
    <workbookView xWindow="0" yWindow="0" windowWidth="19200" windowHeight="7300" tabRatio="849"/>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5" i="20" l="1"/>
  <c r="C23" i="20"/>
  <c r="C24" i="20"/>
  <c r="C25" i="20"/>
  <c r="C26" i="20"/>
  <c r="C27" i="20"/>
  <c r="C28" i="20"/>
  <c r="C29" i="20"/>
  <c r="C30" i="20"/>
  <c r="C31" i="20"/>
  <c r="C32" i="20"/>
  <c r="C33" i="20"/>
  <c r="C34" i="20"/>
  <c r="C13" i="19"/>
  <c r="C22" i="19"/>
  <c r="C21" i="19"/>
  <c r="C19" i="19"/>
  <c r="C15" i="19"/>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17" i="16"/>
  <c r="B30" i="18"/>
  <c r="C30" i="18"/>
  <c r="D30" i="18"/>
  <c r="E30" i="18"/>
  <c r="F30" i="18"/>
  <c r="B29" i="18"/>
  <c r="C29" i="18"/>
  <c r="D29" i="18"/>
  <c r="E29" i="18"/>
  <c r="F29" i="18"/>
  <c r="B28" i="18"/>
  <c r="C28" i="18"/>
  <c r="D28" i="18"/>
  <c r="E28" i="18"/>
  <c r="F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B7" i="18"/>
  <c r="B6" i="18"/>
  <c r="C7" i="18"/>
  <c r="C8" i="18"/>
  <c r="C9" i="18"/>
  <c r="C10" i="18"/>
  <c r="C11" i="18"/>
  <c r="C12" i="18"/>
  <c r="C13" i="18"/>
  <c r="C14" i="18"/>
  <c r="C15" i="18"/>
  <c r="C16" i="18"/>
  <c r="C17" i="18"/>
  <c r="C18" i="18"/>
  <c r="C19" i="18"/>
  <c r="C20" i="18"/>
  <c r="C21" i="18"/>
  <c r="C22" i="18"/>
  <c r="C23" i="18"/>
  <c r="C24" i="18"/>
  <c r="C25" i="18"/>
  <c r="C26" i="18"/>
  <c r="C27" i="18"/>
  <c r="B8" i="18"/>
  <c r="B9" i="18"/>
  <c r="B10" i="18"/>
  <c r="B11" i="18"/>
  <c r="B12" i="18"/>
  <c r="B13" i="18"/>
  <c r="B14" i="18"/>
  <c r="B15" i="18"/>
  <c r="B16" i="18"/>
  <c r="B17" i="18"/>
  <c r="B18" i="18"/>
  <c r="B19" i="18"/>
  <c r="B20" i="18"/>
  <c r="B21" i="18"/>
  <c r="B22" i="18"/>
  <c r="B23" i="18"/>
  <c r="B24" i="18"/>
  <c r="B25" i="18"/>
  <c r="B26" i="18"/>
  <c r="B27" i="18"/>
  <c r="C6" i="18" l="1"/>
  <c r="E6" i="18"/>
  <c r="H41" i="1"/>
</calcChain>
</file>

<file path=xl/sharedStrings.xml><?xml version="1.0" encoding="utf-8"?>
<sst xmlns="http://schemas.openxmlformats.org/spreadsheetml/2006/main" count="332" uniqueCount="187">
  <si>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</si>
  <si>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</si>
  <si>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</si>
  <si>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</si>
  <si>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</si>
  <si>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</si>
  <si>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</si>
  <si>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</si>
  <si>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</si>
  <si>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</si>
  <si>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</si>
  <si>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</si>
  <si>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</si>
  <si>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</si>
  <si>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</si>
  <si>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</si>
  <si>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</si>
  <si>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</si>
  <si>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</si>
  <si>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</si>
  <si>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</si>
  <si>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</si>
  <si>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</si>
  <si>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</si>
  <si>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</si>
  <si>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</si>
  <si>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</si>
  <si>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</si>
  <si>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</si>
  <si>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</si>
  <si>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</si>
  <si>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</si>
  <si>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</si>
  <si>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</si>
  <si>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</si>
  <si>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</si>
  <si>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</si>
  <si>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</si>
  <si>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</si>
  <si>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</si>
  <si>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</si>
  <si>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</si>
  <si>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</si>
  <si>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</si>
  <si>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</si>
  <si>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</si>
  <si>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</si>
  <si>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</si>
  <si>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</si>
  <si>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</si>
  <si>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</si>
  <si>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</si>
  <si>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</si>
  <si>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</si>
  <si>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</si>
  <si>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</si>
  <si>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</si>
  <si>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</si>
  <si>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</si>
  <si>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</si>
  <si>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</si>
  <si>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</si>
  <si>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</si>
  <si>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</si>
  <si>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</si>
  <si>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</si>
  <si>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</si>
  <si>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</si>
  <si>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</si>
  <si>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</si>
  <si>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</si>
  <si>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</si>
  <si>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</si>
  <si>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</si>
  <si>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</si>
  <si>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</si>
  <si>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</si>
  <si>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</si>
  <si>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</si>
  <si>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</si>
  <si>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</si>
  <si>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</si>
  <si>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</si>
  <si>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</si>
  <si>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</si>
  <si>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</si>
  <si>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</si>
  <si>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</si>
  <si>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</si>
  <si>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</si>
  <si>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</si>
  <si>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</si>
  <si>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</si>
  <si>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</si>
  <si>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</si>
  <si>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</si>
  <si>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</si>
  <si>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</si>
  <si>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</si>
  <si>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</si>
  <si>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</si>
  <si>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</si>
  <si>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</si>
  <si>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</si>
  <si>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</si>
  <si>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</si>
  <si>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</si>
  <si>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</si>
  <si>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</si>
  <si>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</si>
  <si>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</si>
  <si>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</si>
  <si>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</si>
  <si>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</si>
  <si>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</si>
  <si>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</si>
  <si>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</si>
  <si>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</si>
  <si>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</si>
  <si>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</si>
  <si>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</si>
  <si>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</si>
  <si>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</si>
  <si>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</si>
  <si>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</si>
  <si>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</si>
  <si>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</si>
  <si>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</si>
  <si>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</si>
  <si>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</si>
  <si>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</si>
  <si>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</si>
  <si>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</si>
  <si>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</si>
  <si>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</si>
  <si>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</si>
  <si>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</si>
  <si>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</si>
  <si>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</si>
  <si>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</si>
  <si>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</si>
  <si>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</si>
  <si>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</si>
  <si>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</si>
  <si>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</si>
  <si>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</si>
  <si>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</si>
  <si>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</si>
  <si>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</si>
  <si>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</si>
  <si>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</si>
  <si>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</si>
  <si>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</si>
  <si>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</si>
  <si>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</si>
  <si>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</si>
  <si>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</si>
  <si>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</si>
  <si>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</si>
  <si>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</si>
  <si>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</si>
  <si>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</si>
  <si>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</si>
  <si>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</si>
  <si>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</si>
  <si>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</si>
  <si>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</si>
  <si>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</si>
  <si>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</si>
  <si>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</si>
  <si>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</si>
  <si>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</si>
  <si>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</si>
  <si>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</si>
  <si>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</si>
  <si>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</si>
  <si>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</si>
  <si>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 xml:space="preserve">Please paste formula used here=SUMIFS(H2:H40, H2:H40, "&gt;20", H2:H40, "&gt;=0")
</t>
  </si>
  <si>
    <t>LEFT(A16, FIND("-", A16) - 1)</t>
  </si>
  <si>
    <t>LEFT Function: Extracts the first part of the string (before the first hyphen) using the FIND() function to locate the position of the hyphen.</t>
  </si>
  <si>
    <t>MID(A16, FIND("-", A16, FIND("-", A16) + 1) + 1, FIND("-", A16, FIND("-", A16, FIND("-", A16) + 1) + 1) - FIND("-", A16, FIND("-", A16) + 1) - 1)</t>
  </si>
  <si>
    <t>MID Function: Used multiple times to extract sections of the string between hyphens by combining FIND() to determine the start and end positions.</t>
  </si>
  <si>
    <t>RIGHT Function: Extracts the last part of the string after the last hyphen.</t>
  </si>
  <si>
    <t>The formula =SUM(IFERROR(C2:C11, 20)) calculates the total of sales in the range C2:C11, replacing any #N/A errors with 20. The IFERROR function checks each sales value, returning the original value if valid or 20 if an error is found. The SUM function then adds all these adjusted values together to give the final total.</t>
  </si>
  <si>
    <t>SUM(IFERROR(C2:C11, 20))</t>
  </si>
  <si>
    <t>The formula uses VLOOKUP to retrieve names corresponding to the IDs from Table B, then MATCH finds the row and column indices of these names in Table A. INDEX retrieves the value at the intersection of the found row and column, while IFERROR handles any errors by returning an empty string. This allows for dynamic lookup of values based on ID pairs in Table C.</t>
  </si>
  <si>
    <t>IFERROR(INDEX($A$9:$J$18, MATCH(VLOOKUP(A35, $M$10:$N$18, 2, FALSE), $A$9:$A$18, 0), MATCH(VLOOKUP(B35, $M$10:$N$18, 2, FALSE), $A$9:$J$9, 0)),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</si>
</sst>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Arial Unicode MS"/>
      <family val="2"/>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2" fontId="3" fillId="0" borderId="0" xfId="0" applyNumberFormat="1" applyFont="1"/>
    <xf numFmtId="2" fontId="3" fillId="0" borderId="0" xfId="0" applyNumberFormat="1" applyFont="1" applyAlignment="1">
      <alignment wrapText="1"/>
    </xf>
    <xf numFmtId="0" fontId="7" fillId="2" borderId="0" xfId="0" applyNumberFormat="1" applyFont="1" applyFill="1"/>
    <xf numFmtId="0" fontId="3" fillId="0" borderId="0" xfId="0" applyNumberFormat="1" applyFont="1"/>
    <xf numFmtId="0" fontId="14" fillId="0" borderId="0" xfId="0" applyFont="1" applyAlignment="1">
      <alignment wrapText="1"/>
    </xf>
    <xf numFmtId="166" fontId="7" fillId="0" borderId="0" xfId="0" applyNumberFormat="1" applyFont="1"/>
    <xf numFmtId="166" fontId="3" fillId="0" borderId="0" xfId="0" applyNumberFormat="1" applyFont="1"/>
    <xf numFmtId="0" fontId="16" fillId="0" borderId="0" xfId="0" applyNumberFormat="1" applyFont="1"/>
    <xf numFmtId="0" fontId="7" fillId="2" borderId="1" xfId="0" applyNumberFormat="1" applyFont="1" applyFill="1" applyBorder="1"/>
    <xf numFmtId="0" fontId="2" fillId="0" borderId="0" xfId="0" applyNumberFormat="1" applyFont="1" applyAlignment="1">
      <alignment vertical="center" wrapText="1"/>
    </xf>
    <xf numFmtId="0" fontId="18" fillId="0" borderId="0" xfId="0" applyNumberFormat="1" applyFont="1" applyAlignment="1">
      <alignment vertical="center" wrapText="1"/>
    </xf>
    <xf numFmtId="0" fontId="3" fillId="5" borderId="1" xfId="0" applyNumberFormat="1" applyFont="1" applyFill="1" applyBorder="1"/>
    <xf numFmtId="0" fontId="8" fillId="0" borderId="0" xfId="0" applyNumberFormat="1" applyFont="1"/>
    <xf numFmtId="0" fontId="15" fillId="0" borderId="0" xfId="0" applyNumberFormat="1" applyFont="1" applyAlignment="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6">
    <dxf>
      <font>
        <color theme="9" tint="-0.499984740745262"/>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tabSelected="1" zoomScaleNormal="100" workbookViewId="0"/>
  </sheetViews>
  <sheetFormatPr defaultColWidth="11" defaultRowHeight="13" x14ac:dyDescent="0.3"/>
  <cols>
    <col min="1" max="1" width="70.796875" style="2" bestFit="1" customWidth="1"/>
    <col min="2" max="16384" width="11" style="2"/>
  </cols>
  <sheetData>
    <row r="1" spans="1:3" ht="18.5" x14ac:dyDescent="0.45">
      <c r="A1" s="37" t="s">
        <v>108</v>
      </c>
    </row>
    <row r="2" spans="1:3" x14ac:dyDescent="0.3">
      <c r="A2" s="2" t="s">
        <v>109</v>
      </c>
    </row>
    <row r="3" spans="1:3" x14ac:dyDescent="0.3">
      <c r="A3" s="2" t="s">
        <v>110</v>
      </c>
    </row>
    <row r="4" spans="1:3" ht="14.5" x14ac:dyDescent="0.35">
      <c r="A4" s="2" t="s">
        <v>176</v>
      </c>
      <c r="C4" s="1"/>
    </row>
    <row r="5" spans="1:3" x14ac:dyDescent="0.3">
      <c r="A5" s="2" t="s">
        <v>151</v>
      </c>
    </row>
    <row r="8" spans="1:3" x14ac:dyDescent="0.3">
      <c r="A8" s="2" t="s">
        <v>172</v>
      </c>
    </row>
    <row r="9" spans="1:3" x14ac:dyDescent="0.3">
      <c r="A9" s="34" t="s">
        <v>170</v>
      </c>
      <c r="B9" s="25" t="s">
        <v>168</v>
      </c>
    </row>
    <row r="10" spans="1:3" x14ac:dyDescent="0.3">
      <c r="A10" s="33" t="s">
        <v>171</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2"/>
  <sheetViews>
    <sheetView zoomScaleNormal="100" workbookViewId="0">
      <pane ySplit="1" topLeftCell="A2" activePane="bottomLeft" state="frozen"/>
      <selection pane="bottomLeft" activeCell="C12" sqref="C1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59765625" style="23" customWidth="1"/>
    <col min="7" max="7" width="12.796875" style="1" bestFit="1" customWidth="1"/>
    <col min="8" max="8" width="12.796875" style="46" customWidth="1"/>
    <col min="9"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9" bestFit="1" customWidth="1"/>
    <col min="25" max="16384" width="9" style="1"/>
  </cols>
  <sheetData>
    <row r="1" spans="1:24" s="3" customFormat="1" ht="14.5" customHeight="1" x14ac:dyDescent="0.35">
      <c r="A1" s="26" t="s">
        <v>64</v>
      </c>
      <c r="B1" s="26" t="s">
        <v>43</v>
      </c>
      <c r="C1" s="26" t="s">
        <v>0</v>
      </c>
      <c r="D1" s="27" t="s">
        <v>1</v>
      </c>
      <c r="E1" s="26" t="s">
        <v>2</v>
      </c>
      <c r="F1" s="27" t="s">
        <v>3</v>
      </c>
      <c r="G1" s="28" t="s">
        <v>79</v>
      </c>
      <c r="H1" s="45"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8" t="s">
        <v>105</v>
      </c>
    </row>
    <row r="2" spans="1:24" x14ac:dyDescent="0.35">
      <c r="A2" s="1" t="s">
        <v>40</v>
      </c>
      <c r="B2" s="1">
        <v>20000</v>
      </c>
      <c r="C2" s="1" t="s">
        <v>5</v>
      </c>
      <c r="D2" s="23">
        <v>0</v>
      </c>
      <c r="E2" s="1" t="s">
        <v>6</v>
      </c>
      <c r="F2" s="23">
        <v>0.99998842592592596</v>
      </c>
      <c r="G2" s="1">
        <v>2.7</v>
      </c>
      <c r="H2" s="43">
        <v>3.6</v>
      </c>
      <c r="I2" s="1">
        <v>4.2</v>
      </c>
      <c r="J2" s="1">
        <v>-1</v>
      </c>
      <c r="K2" s="1">
        <v>-1</v>
      </c>
      <c r="L2" s="1">
        <v>-1</v>
      </c>
      <c r="M2" s="1">
        <v>5.3</v>
      </c>
      <c r="N2" s="1">
        <v>7.6</v>
      </c>
      <c r="O2" s="1">
        <v>8.9</v>
      </c>
      <c r="P2" s="1">
        <v>2.7</v>
      </c>
      <c r="Q2" s="1">
        <v>3.6</v>
      </c>
      <c r="R2" s="1">
        <v>4.2</v>
      </c>
      <c r="S2" s="1">
        <v>7.6</v>
      </c>
      <c r="T2" s="1">
        <v>8.9</v>
      </c>
      <c r="U2" s="1">
        <v>3.6</v>
      </c>
      <c r="V2" s="1">
        <v>4.2</v>
      </c>
      <c r="W2" s="1">
        <v>4.2</v>
      </c>
      <c r="X2" s="49">
        <v>45051</v>
      </c>
    </row>
    <row r="3" spans="1:24" x14ac:dyDescent="0.35">
      <c r="A3" s="1" t="s">
        <v>4</v>
      </c>
      <c r="B3" s="1">
        <v>20002</v>
      </c>
      <c r="C3" s="1" t="s">
        <v>5</v>
      </c>
      <c r="D3" s="23">
        <v>0</v>
      </c>
      <c r="E3" s="1" t="s">
        <v>6</v>
      </c>
      <c r="F3" s="23">
        <v>0.99998842592592596</v>
      </c>
      <c r="G3" s="1">
        <v>2.7</v>
      </c>
      <c r="H3" s="43">
        <v>3.6</v>
      </c>
      <c r="I3" s="1">
        <v>4.2</v>
      </c>
      <c r="J3" s="1">
        <v>-1</v>
      </c>
      <c r="K3" s="1">
        <v>-1</v>
      </c>
      <c r="L3" s="1">
        <v>-1</v>
      </c>
      <c r="M3" s="1">
        <v>5.3</v>
      </c>
      <c r="N3" s="1">
        <v>7.6</v>
      </c>
      <c r="O3" s="1">
        <v>8.9</v>
      </c>
      <c r="P3" s="1">
        <v>2.7</v>
      </c>
      <c r="Q3" s="1">
        <v>3.6</v>
      </c>
      <c r="R3" s="1">
        <v>4.2</v>
      </c>
      <c r="S3" s="1">
        <v>7.6</v>
      </c>
      <c r="T3" s="1">
        <v>8.9</v>
      </c>
      <c r="U3" s="1">
        <v>3.6</v>
      </c>
      <c r="V3" s="1">
        <v>4.2</v>
      </c>
      <c r="W3" s="1">
        <v>4.2</v>
      </c>
      <c r="X3" s="49">
        <v>45048</v>
      </c>
    </row>
    <row r="4" spans="1:24" x14ac:dyDescent="0.35">
      <c r="A4" s="1" t="s">
        <v>7</v>
      </c>
      <c r="B4" s="1">
        <v>20004</v>
      </c>
      <c r="C4" s="1" t="s">
        <v>5</v>
      </c>
      <c r="D4" s="23">
        <v>0</v>
      </c>
      <c r="E4" s="1" t="s">
        <v>6</v>
      </c>
      <c r="F4" s="23">
        <v>0.99998842592592596</v>
      </c>
      <c r="G4" s="1">
        <v>3.6</v>
      </c>
      <c r="H4" s="43">
        <v>5.4</v>
      </c>
      <c r="I4" s="1">
        <v>5.8</v>
      </c>
      <c r="J4" s="1">
        <v>-1</v>
      </c>
      <c r="K4" s="1">
        <v>-1</v>
      </c>
      <c r="L4" s="1">
        <v>-1</v>
      </c>
      <c r="M4" s="1">
        <v>7.6</v>
      </c>
      <c r="N4" s="1">
        <v>11.1</v>
      </c>
      <c r="O4" s="1">
        <v>12.2</v>
      </c>
      <c r="P4" s="1">
        <v>3.6</v>
      </c>
      <c r="Q4" s="1">
        <v>5.4</v>
      </c>
      <c r="R4" s="1">
        <v>5.8</v>
      </c>
      <c r="S4" s="1">
        <v>11.1</v>
      </c>
      <c r="T4" s="1">
        <v>12.2</v>
      </c>
      <c r="U4" s="1">
        <v>5.4</v>
      </c>
      <c r="V4" s="1">
        <v>5.8</v>
      </c>
      <c r="W4" s="1">
        <v>5.8</v>
      </c>
      <c r="X4" s="49">
        <v>45055</v>
      </c>
    </row>
    <row r="5" spans="1:24" x14ac:dyDescent="0.35">
      <c r="A5" s="1" t="s">
        <v>8</v>
      </c>
      <c r="B5" s="1">
        <v>20006</v>
      </c>
      <c r="C5" s="1" t="s">
        <v>5</v>
      </c>
      <c r="D5" s="23">
        <v>0</v>
      </c>
      <c r="E5" s="1" t="s">
        <v>6</v>
      </c>
      <c r="F5" s="23">
        <v>0.99998842592592596</v>
      </c>
      <c r="G5" s="1">
        <v>4.9000000000000004</v>
      </c>
      <c r="H5" s="43">
        <v>6.6</v>
      </c>
      <c r="I5" s="1">
        <v>8.1</v>
      </c>
      <c r="J5" s="1">
        <v>-1</v>
      </c>
      <c r="K5" s="1">
        <v>-1</v>
      </c>
      <c r="L5" s="1">
        <v>-1</v>
      </c>
      <c r="M5" s="1">
        <v>10</v>
      </c>
      <c r="N5" s="1">
        <v>13.3</v>
      </c>
      <c r="O5" s="1">
        <v>17</v>
      </c>
      <c r="P5" s="1">
        <v>4.9000000000000004</v>
      </c>
      <c r="Q5" s="1">
        <v>6.6</v>
      </c>
      <c r="R5" s="1">
        <v>8.1</v>
      </c>
      <c r="S5" s="1">
        <v>13.3</v>
      </c>
      <c r="T5" s="1">
        <v>17</v>
      </c>
      <c r="U5" s="1">
        <v>6.6</v>
      </c>
      <c r="V5" s="1">
        <v>8.1</v>
      </c>
      <c r="W5" s="1">
        <v>8.1</v>
      </c>
      <c r="X5" s="49">
        <v>45059</v>
      </c>
    </row>
    <row r="6" spans="1:24" x14ac:dyDescent="0.35">
      <c r="A6" s="1" t="s">
        <v>9</v>
      </c>
      <c r="B6" s="1">
        <v>20008</v>
      </c>
      <c r="C6" s="1" t="s">
        <v>5</v>
      </c>
      <c r="D6" s="23">
        <v>0</v>
      </c>
      <c r="E6" s="1" t="s">
        <v>6</v>
      </c>
      <c r="F6" s="23">
        <v>0.99998842592592596</v>
      </c>
      <c r="G6" s="1">
        <v>6.6</v>
      </c>
      <c r="H6" s="43">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9">
        <v>45076</v>
      </c>
    </row>
    <row r="7" spans="1:24" x14ac:dyDescent="0.35">
      <c r="A7" s="1" t="s">
        <v>10</v>
      </c>
      <c r="B7" s="1">
        <v>20010</v>
      </c>
      <c r="C7" s="1" t="s">
        <v>5</v>
      </c>
      <c r="D7" s="23">
        <v>0</v>
      </c>
      <c r="E7" s="1" t="s">
        <v>6</v>
      </c>
      <c r="F7" s="23">
        <v>0.99998842592592596</v>
      </c>
      <c r="G7" s="1">
        <v>7.1</v>
      </c>
      <c r="H7" s="43">
        <v>10.4</v>
      </c>
      <c r="I7" s="1">
        <v>12.8</v>
      </c>
      <c r="J7" s="1">
        <v>-1</v>
      </c>
      <c r="K7" s="1">
        <v>-1</v>
      </c>
      <c r="L7" s="1">
        <v>-1</v>
      </c>
      <c r="M7" s="1">
        <v>14.4</v>
      </c>
      <c r="N7" s="1">
        <v>21.5</v>
      </c>
      <c r="O7" s="1">
        <v>26.1</v>
      </c>
      <c r="P7" s="1">
        <v>7.1</v>
      </c>
      <c r="Q7" s="1">
        <v>10.4</v>
      </c>
      <c r="R7" s="1">
        <v>12.8</v>
      </c>
      <c r="S7" s="1">
        <v>21.5</v>
      </c>
      <c r="T7" s="1">
        <v>26.1</v>
      </c>
      <c r="U7" s="1">
        <v>10.4</v>
      </c>
      <c r="V7" s="1">
        <v>12.8</v>
      </c>
      <c r="W7" s="1">
        <v>12.8</v>
      </c>
      <c r="X7" s="49">
        <v>45057</v>
      </c>
    </row>
    <row r="8" spans="1:24" x14ac:dyDescent="0.35">
      <c r="A8" s="1" t="s">
        <v>11</v>
      </c>
      <c r="B8" s="1">
        <v>20012</v>
      </c>
      <c r="C8" s="1" t="s">
        <v>5</v>
      </c>
      <c r="D8" s="23">
        <v>0</v>
      </c>
      <c r="E8" s="1" t="s">
        <v>6</v>
      </c>
      <c r="F8" s="23">
        <v>0.99998842592592596</v>
      </c>
      <c r="G8" s="1">
        <v>9.4</v>
      </c>
      <c r="H8" s="43">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9">
        <v>45052</v>
      </c>
    </row>
    <row r="9" spans="1:24" x14ac:dyDescent="0.35">
      <c r="A9" s="1" t="s">
        <v>12</v>
      </c>
      <c r="B9" s="1">
        <v>20014</v>
      </c>
      <c r="C9" s="1" t="s">
        <v>5</v>
      </c>
      <c r="D9" s="23">
        <v>0</v>
      </c>
      <c r="E9" s="1" t="s">
        <v>6</v>
      </c>
      <c r="F9" s="23">
        <v>0.99998842592592596</v>
      </c>
      <c r="G9" s="1">
        <v>11.6</v>
      </c>
      <c r="H9" s="43">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9">
        <v>45098</v>
      </c>
    </row>
    <row r="10" spans="1:24" x14ac:dyDescent="0.35">
      <c r="A10" s="1" t="s">
        <v>13</v>
      </c>
      <c r="B10" s="1">
        <v>20016</v>
      </c>
      <c r="C10" s="1" t="s">
        <v>5</v>
      </c>
      <c r="D10" s="23">
        <v>0</v>
      </c>
      <c r="E10" s="1" t="s">
        <v>6</v>
      </c>
      <c r="F10" s="23">
        <v>0.99998842592592596</v>
      </c>
      <c r="G10" s="1">
        <v>16.100000000000001</v>
      </c>
      <c r="H10" s="43">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9">
        <v>45092</v>
      </c>
    </row>
    <row r="11" spans="1:24" x14ac:dyDescent="0.35">
      <c r="A11" s="1" t="s">
        <v>14</v>
      </c>
      <c r="B11" s="1">
        <v>20018</v>
      </c>
      <c r="C11" s="1" t="s">
        <v>5</v>
      </c>
      <c r="D11" s="23">
        <v>0</v>
      </c>
      <c r="E11" s="1" t="s">
        <v>6</v>
      </c>
      <c r="F11" s="23">
        <v>0.99998842592592596</v>
      </c>
      <c r="G11" s="1">
        <v>18.399999999999999</v>
      </c>
      <c r="H11" s="43">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9">
        <v>45104</v>
      </c>
    </row>
    <row r="12" spans="1:24" x14ac:dyDescent="0.35">
      <c r="A12" s="1" t="s">
        <v>15</v>
      </c>
      <c r="B12" s="1">
        <v>20020</v>
      </c>
      <c r="C12" s="1" t="s">
        <v>5</v>
      </c>
      <c r="D12" s="23">
        <v>0</v>
      </c>
      <c r="E12" s="1" t="s">
        <v>6</v>
      </c>
      <c r="F12" s="23">
        <v>0.99998842592592596</v>
      </c>
      <c r="G12" s="1">
        <v>0</v>
      </c>
      <c r="H12" s="43">
        <v>0</v>
      </c>
      <c r="I12" s="1">
        <v>0</v>
      </c>
      <c r="J12" s="1">
        <v>0</v>
      </c>
      <c r="K12" s="1">
        <v>0</v>
      </c>
      <c r="L12" s="1">
        <v>0</v>
      </c>
      <c r="M12" s="1">
        <v>0</v>
      </c>
      <c r="N12" s="1">
        <v>0</v>
      </c>
      <c r="O12" s="1">
        <v>0</v>
      </c>
      <c r="P12" s="1">
        <v>0</v>
      </c>
      <c r="Q12" s="1">
        <v>0</v>
      </c>
      <c r="R12" s="1">
        <v>0</v>
      </c>
      <c r="S12" s="1">
        <v>0</v>
      </c>
      <c r="T12" s="1">
        <v>0</v>
      </c>
      <c r="U12" s="1">
        <v>0</v>
      </c>
      <c r="V12" s="1">
        <v>0</v>
      </c>
      <c r="W12" s="1">
        <v>0</v>
      </c>
      <c r="X12" s="49">
        <v>45116</v>
      </c>
    </row>
    <row r="13" spans="1:24" x14ac:dyDescent="0.35">
      <c r="A13" s="1" t="s">
        <v>16</v>
      </c>
      <c r="B13" s="1">
        <v>20022</v>
      </c>
      <c r="C13" s="1" t="s">
        <v>5</v>
      </c>
      <c r="D13" s="23">
        <v>0</v>
      </c>
      <c r="E13" s="1" t="s">
        <v>6</v>
      </c>
      <c r="F13" s="23">
        <v>0.99998842592592596</v>
      </c>
      <c r="G13" s="1">
        <v>21.9</v>
      </c>
      <c r="H13" s="43">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9">
        <v>45110</v>
      </c>
    </row>
    <row r="14" spans="1:24" x14ac:dyDescent="0.35">
      <c r="A14" s="1" t="s">
        <v>17</v>
      </c>
      <c r="B14" s="1">
        <v>20024</v>
      </c>
      <c r="C14" s="1" t="s">
        <v>5</v>
      </c>
      <c r="D14" s="23">
        <v>0</v>
      </c>
      <c r="E14" s="1" t="s">
        <v>6</v>
      </c>
      <c r="F14" s="23">
        <v>0.99998842592592596</v>
      </c>
      <c r="G14" s="1">
        <v>23.5</v>
      </c>
      <c r="H14" s="43">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9">
        <v>45095</v>
      </c>
    </row>
    <row r="15" spans="1:24" x14ac:dyDescent="0.35">
      <c r="A15" s="1" t="s">
        <v>18</v>
      </c>
      <c r="B15" s="1">
        <v>20026</v>
      </c>
      <c r="C15" s="1" t="s">
        <v>5</v>
      </c>
      <c r="D15" s="23">
        <v>0</v>
      </c>
      <c r="E15" s="1" t="s">
        <v>6</v>
      </c>
      <c r="F15" s="23">
        <v>0.99998842592592596</v>
      </c>
      <c r="G15" s="1">
        <v>26.8</v>
      </c>
      <c r="H15" s="43">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9">
        <v>45113</v>
      </c>
    </row>
    <row r="16" spans="1:24" x14ac:dyDescent="0.35">
      <c r="A16" s="1" t="s">
        <v>19</v>
      </c>
      <c r="B16" s="1">
        <v>20028</v>
      </c>
      <c r="C16" s="1" t="s">
        <v>5</v>
      </c>
      <c r="D16" s="23">
        <v>0</v>
      </c>
      <c r="E16" s="1" t="s">
        <v>6</v>
      </c>
      <c r="F16" s="23">
        <v>0.99998842592592596</v>
      </c>
      <c r="G16" s="1">
        <v>28</v>
      </c>
      <c r="H16" s="43">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9">
        <v>45063</v>
      </c>
    </row>
    <row r="17" spans="1:24" x14ac:dyDescent="0.35">
      <c r="A17" s="1" t="s">
        <v>20</v>
      </c>
      <c r="B17" s="1">
        <v>20030</v>
      </c>
      <c r="C17" s="1" t="s">
        <v>5</v>
      </c>
      <c r="D17" s="23">
        <v>0</v>
      </c>
      <c r="E17" s="1" t="s">
        <v>6</v>
      </c>
      <c r="F17" s="23">
        <v>0.99998842592592596</v>
      </c>
      <c r="G17" s="1">
        <v>28.5</v>
      </c>
      <c r="H17" s="43">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9">
        <v>45071</v>
      </c>
    </row>
    <row r="18" spans="1:24" x14ac:dyDescent="0.35">
      <c r="A18" s="1" t="s">
        <v>21</v>
      </c>
      <c r="B18" s="1">
        <v>20032</v>
      </c>
      <c r="C18" s="1" t="s">
        <v>5</v>
      </c>
      <c r="D18" s="23">
        <v>0</v>
      </c>
      <c r="E18" s="1" t="s">
        <v>6</v>
      </c>
      <c r="F18" s="23">
        <v>0.99998842592592596</v>
      </c>
      <c r="G18" s="1">
        <v>29.1</v>
      </c>
      <c r="H18" s="43">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9">
        <v>45085</v>
      </c>
    </row>
    <row r="19" spans="1:24" x14ac:dyDescent="0.35">
      <c r="A19" s="1" t="s">
        <v>22</v>
      </c>
      <c r="B19" s="1">
        <v>20034</v>
      </c>
      <c r="C19" s="1" t="s">
        <v>5</v>
      </c>
      <c r="D19" s="23">
        <v>0</v>
      </c>
      <c r="E19" s="1" t="s">
        <v>6</v>
      </c>
      <c r="F19" s="23">
        <v>0.99998842592592596</v>
      </c>
      <c r="G19" s="1">
        <v>30.7</v>
      </c>
      <c r="H19" s="43">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9">
        <v>45099</v>
      </c>
    </row>
    <row r="20" spans="1:24" x14ac:dyDescent="0.35">
      <c r="A20" s="1" t="s">
        <v>23</v>
      </c>
      <c r="B20" s="1">
        <v>20036</v>
      </c>
      <c r="C20" s="1" t="s">
        <v>5</v>
      </c>
      <c r="D20" s="23">
        <v>0</v>
      </c>
      <c r="E20" s="1" t="s">
        <v>6</v>
      </c>
      <c r="F20" s="23">
        <v>0.99998842592592596</v>
      </c>
      <c r="G20" s="1">
        <v>33.799999999999997</v>
      </c>
      <c r="H20" s="43">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9">
        <v>45091</v>
      </c>
    </row>
    <row r="21" spans="1:24" x14ac:dyDescent="0.35">
      <c r="A21" s="1" t="s">
        <v>24</v>
      </c>
      <c r="B21" s="1">
        <v>20038</v>
      </c>
      <c r="C21" s="1" t="s">
        <v>5</v>
      </c>
      <c r="D21" s="23">
        <v>0</v>
      </c>
      <c r="E21" s="1" t="s">
        <v>6</v>
      </c>
      <c r="F21" s="23">
        <v>0.99998842592592596</v>
      </c>
      <c r="G21" s="1">
        <v>34.700000000000003</v>
      </c>
      <c r="H21" s="43">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9">
        <v>45079</v>
      </c>
    </row>
    <row r="22" spans="1:24" x14ac:dyDescent="0.35">
      <c r="A22" s="1" t="s">
        <v>25</v>
      </c>
      <c r="B22" s="1">
        <v>20040</v>
      </c>
      <c r="C22" s="1" t="s">
        <v>5</v>
      </c>
      <c r="D22" s="23">
        <v>0</v>
      </c>
      <c r="E22" s="1" t="s">
        <v>6</v>
      </c>
      <c r="F22" s="23">
        <v>0.99998842592592596</v>
      </c>
      <c r="G22" s="1">
        <v>36.5</v>
      </c>
      <c r="H22" s="43">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9">
        <v>45075</v>
      </c>
    </row>
    <row r="23" spans="1:24" x14ac:dyDescent="0.35">
      <c r="A23" s="1" t="s">
        <v>41</v>
      </c>
      <c r="B23" s="1">
        <v>20042</v>
      </c>
      <c r="C23" s="1" t="s">
        <v>5</v>
      </c>
      <c r="D23" s="23">
        <v>0</v>
      </c>
      <c r="E23" s="1" t="s">
        <v>6</v>
      </c>
      <c r="F23" s="23">
        <v>0.99998842592592596</v>
      </c>
      <c r="G23" s="1">
        <v>38</v>
      </c>
      <c r="H23" s="43">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9">
        <v>45110</v>
      </c>
    </row>
    <row r="24" spans="1:24" x14ac:dyDescent="0.35">
      <c r="A24" s="1" t="s">
        <v>26</v>
      </c>
      <c r="B24" s="1">
        <v>20044</v>
      </c>
      <c r="C24" s="1" t="s">
        <v>5</v>
      </c>
      <c r="D24" s="23">
        <v>0</v>
      </c>
      <c r="E24" s="1" t="s">
        <v>6</v>
      </c>
      <c r="F24" s="23">
        <v>0.99998842592592596</v>
      </c>
      <c r="G24" s="1">
        <v>38.700000000000003</v>
      </c>
      <c r="H24" s="43">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9">
        <v>45114</v>
      </c>
    </row>
    <row r="25" spans="1:24" x14ac:dyDescent="0.35">
      <c r="A25" s="1" t="s">
        <v>27</v>
      </c>
      <c r="B25" s="1">
        <v>20046</v>
      </c>
      <c r="C25" s="1" t="s">
        <v>5</v>
      </c>
      <c r="D25" s="23">
        <v>0</v>
      </c>
      <c r="E25" s="1" t="s">
        <v>6</v>
      </c>
      <c r="F25" s="23">
        <v>0.99998842592592596</v>
      </c>
      <c r="G25" s="1">
        <v>40.1</v>
      </c>
      <c r="H25" s="43">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9">
        <v>45118</v>
      </c>
    </row>
    <row r="26" spans="1:24" x14ac:dyDescent="0.35">
      <c r="A26" s="1" t="s">
        <v>28</v>
      </c>
      <c r="B26" s="1">
        <v>20048</v>
      </c>
      <c r="C26" s="1" t="s">
        <v>5</v>
      </c>
      <c r="D26" s="23">
        <v>0</v>
      </c>
      <c r="E26" s="1" t="s">
        <v>6</v>
      </c>
      <c r="F26" s="23">
        <v>0.99998842592592596</v>
      </c>
      <c r="G26" s="1">
        <v>0</v>
      </c>
      <c r="H26" s="43">
        <v>0</v>
      </c>
      <c r="I26" s="1">
        <v>0</v>
      </c>
      <c r="J26" s="1">
        <v>0</v>
      </c>
      <c r="K26" s="1">
        <v>0</v>
      </c>
      <c r="L26" s="1">
        <v>0</v>
      </c>
      <c r="M26" s="1">
        <v>0</v>
      </c>
      <c r="N26" s="1">
        <v>0</v>
      </c>
      <c r="O26" s="1">
        <v>0</v>
      </c>
      <c r="P26" s="1">
        <v>0</v>
      </c>
      <c r="Q26" s="1">
        <v>0</v>
      </c>
      <c r="R26" s="1">
        <v>0</v>
      </c>
      <c r="S26" s="1">
        <v>0</v>
      </c>
      <c r="T26" s="1">
        <v>0</v>
      </c>
      <c r="U26" s="1">
        <v>0</v>
      </c>
      <c r="V26" s="1">
        <v>0</v>
      </c>
      <c r="W26" s="1">
        <v>0</v>
      </c>
      <c r="X26" s="49">
        <v>45142</v>
      </c>
    </row>
    <row r="27" spans="1:24" x14ac:dyDescent="0.35">
      <c r="A27" s="1" t="s">
        <v>57</v>
      </c>
      <c r="B27" s="1">
        <v>20050</v>
      </c>
      <c r="C27" s="1" t="s">
        <v>5</v>
      </c>
      <c r="D27" s="23">
        <v>0</v>
      </c>
      <c r="E27" s="1" t="s">
        <v>6</v>
      </c>
      <c r="F27" s="23">
        <v>0.99998842592592596</v>
      </c>
      <c r="G27" s="1">
        <v>41.3</v>
      </c>
      <c r="H27" s="43">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9">
        <v>45146</v>
      </c>
    </row>
    <row r="28" spans="1:24" x14ac:dyDescent="0.35">
      <c r="A28" s="1" t="s">
        <v>29</v>
      </c>
      <c r="B28" s="1">
        <v>20052</v>
      </c>
      <c r="C28" s="1" t="s">
        <v>5</v>
      </c>
      <c r="D28" s="23">
        <v>0</v>
      </c>
      <c r="E28" s="1" t="s">
        <v>6</v>
      </c>
      <c r="F28" s="23">
        <v>0.99998842592592596</v>
      </c>
      <c r="G28" s="1">
        <v>42.3</v>
      </c>
      <c r="H28" s="43">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9">
        <v>45108</v>
      </c>
    </row>
    <row r="29" spans="1:24" x14ac:dyDescent="0.35">
      <c r="A29" s="1" t="s">
        <v>30</v>
      </c>
      <c r="B29" s="1">
        <v>20054</v>
      </c>
      <c r="C29" s="1" t="s">
        <v>5</v>
      </c>
      <c r="D29" s="23">
        <v>0</v>
      </c>
      <c r="E29" s="1" t="s">
        <v>6</v>
      </c>
      <c r="F29" s="23">
        <v>0.99998842592592596</v>
      </c>
      <c r="G29" s="1">
        <v>43.3</v>
      </c>
      <c r="H29" s="43">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9">
        <v>45153</v>
      </c>
    </row>
    <row r="30" spans="1:24" x14ac:dyDescent="0.35">
      <c r="A30" s="1" t="s">
        <v>58</v>
      </c>
      <c r="B30" s="1">
        <v>20058</v>
      </c>
      <c r="C30" s="1" t="s">
        <v>5</v>
      </c>
      <c r="D30" s="23">
        <v>0</v>
      </c>
      <c r="E30" s="1" t="s">
        <v>6</v>
      </c>
      <c r="F30" s="23">
        <v>0.99998842592592596</v>
      </c>
      <c r="G30" s="1">
        <v>-1</v>
      </c>
      <c r="H30" s="43">
        <v>-1</v>
      </c>
      <c r="I30" s="1">
        <v>-1</v>
      </c>
      <c r="J30" s="1">
        <v>-1</v>
      </c>
      <c r="K30" s="1">
        <v>-1</v>
      </c>
      <c r="L30" s="1">
        <v>-1</v>
      </c>
      <c r="M30" s="1">
        <v>-1</v>
      </c>
      <c r="N30" s="1">
        <v>-1</v>
      </c>
      <c r="O30" s="1">
        <v>-1</v>
      </c>
      <c r="P30" s="1">
        <v>-1</v>
      </c>
      <c r="Q30" s="1">
        <v>-1</v>
      </c>
      <c r="R30" s="1">
        <v>-1</v>
      </c>
      <c r="S30" s="1">
        <v>-1</v>
      </c>
      <c r="T30" s="1">
        <v>-1</v>
      </c>
      <c r="U30" s="1">
        <v>-1</v>
      </c>
      <c r="V30" s="1">
        <v>-1</v>
      </c>
      <c r="W30" s="1">
        <v>-1</v>
      </c>
      <c r="X30" s="49">
        <v>45150</v>
      </c>
    </row>
    <row r="31" spans="1:24" x14ac:dyDescent="0.35">
      <c r="A31" s="1" t="s">
        <v>31</v>
      </c>
      <c r="B31" s="1">
        <v>20060</v>
      </c>
      <c r="C31" s="1" t="s">
        <v>5</v>
      </c>
      <c r="D31" s="23">
        <v>0</v>
      </c>
      <c r="E31" s="1" t="s">
        <v>6</v>
      </c>
      <c r="F31" s="23">
        <v>0.99998842592592596</v>
      </c>
      <c r="G31" s="1">
        <v>45</v>
      </c>
      <c r="H31" s="43">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9">
        <v>45157</v>
      </c>
    </row>
    <row r="32" spans="1:24" x14ac:dyDescent="0.35">
      <c r="A32" s="1" t="s">
        <v>32</v>
      </c>
      <c r="B32" s="1">
        <v>21000</v>
      </c>
      <c r="C32" s="1" t="s">
        <v>5</v>
      </c>
      <c r="D32" s="23">
        <v>0</v>
      </c>
      <c r="E32" s="1" t="s">
        <v>6</v>
      </c>
      <c r="F32" s="23">
        <v>0.99998842592592596</v>
      </c>
      <c r="G32" s="1">
        <v>-1</v>
      </c>
      <c r="H32" s="43">
        <v>-1</v>
      </c>
      <c r="I32" s="1">
        <v>-1</v>
      </c>
      <c r="J32" s="1">
        <v>-1</v>
      </c>
      <c r="K32" s="1">
        <v>-1</v>
      </c>
      <c r="L32" s="1">
        <v>-1</v>
      </c>
      <c r="M32" s="1">
        <v>-1</v>
      </c>
      <c r="N32" s="1">
        <v>-1</v>
      </c>
      <c r="O32" s="1">
        <v>-1</v>
      </c>
      <c r="P32" s="1">
        <v>-1</v>
      </c>
      <c r="Q32" s="1">
        <v>-1</v>
      </c>
      <c r="R32" s="1">
        <v>-1</v>
      </c>
      <c r="S32" s="1">
        <v>-1</v>
      </c>
      <c r="T32" s="1">
        <v>-1</v>
      </c>
      <c r="U32" s="1">
        <v>-1</v>
      </c>
      <c r="V32" s="1">
        <v>-1</v>
      </c>
      <c r="W32" s="1">
        <v>-1</v>
      </c>
      <c r="X32" s="49">
        <v>45143</v>
      </c>
    </row>
    <row r="33" spans="1:24" x14ac:dyDescent="0.35">
      <c r="A33" s="1" t="s">
        <v>33</v>
      </c>
      <c r="B33" s="1">
        <v>21002</v>
      </c>
      <c r="C33" s="1" t="s">
        <v>5</v>
      </c>
      <c r="D33" s="23">
        <v>0</v>
      </c>
      <c r="E33" s="1" t="s">
        <v>6</v>
      </c>
      <c r="F33" s="23">
        <v>0.99998842592592596</v>
      </c>
      <c r="G33" s="1">
        <v>41.5</v>
      </c>
      <c r="H33" s="43">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9">
        <v>45166</v>
      </c>
    </row>
    <row r="34" spans="1:24" x14ac:dyDescent="0.35">
      <c r="A34" s="1" t="s">
        <v>34</v>
      </c>
      <c r="B34" s="1">
        <v>21004</v>
      </c>
      <c r="C34" s="1" t="s">
        <v>5</v>
      </c>
      <c r="D34" s="23">
        <v>0</v>
      </c>
      <c r="E34" s="1" t="s">
        <v>6</v>
      </c>
      <c r="F34" s="23">
        <v>0.99998842592592596</v>
      </c>
      <c r="G34" s="1">
        <v>43.3</v>
      </c>
      <c r="H34" s="43">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9">
        <v>45162</v>
      </c>
    </row>
    <row r="35" spans="1:24" x14ac:dyDescent="0.35">
      <c r="A35" s="1" t="s">
        <v>35</v>
      </c>
      <c r="B35" s="1">
        <v>21006</v>
      </c>
      <c r="C35" s="1" t="s">
        <v>5</v>
      </c>
      <c r="D35" s="23">
        <v>0</v>
      </c>
      <c r="E35" s="1" t="s">
        <v>6</v>
      </c>
      <c r="F35" s="23">
        <v>0.99998842592592596</v>
      </c>
      <c r="G35" s="1">
        <v>44.5</v>
      </c>
      <c r="H35" s="43">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9">
        <v>45160</v>
      </c>
    </row>
    <row r="36" spans="1:24" x14ac:dyDescent="0.35">
      <c r="A36" s="1" t="s">
        <v>36</v>
      </c>
      <c r="B36" s="1">
        <v>21008</v>
      </c>
      <c r="C36" s="1" t="s">
        <v>5</v>
      </c>
      <c r="D36" s="23">
        <v>0</v>
      </c>
      <c r="E36" s="1" t="s">
        <v>6</v>
      </c>
      <c r="F36" s="23">
        <v>0.99998842592592596</v>
      </c>
      <c r="G36" s="1">
        <v>47.3</v>
      </c>
      <c r="H36" s="43">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9">
        <v>45179</v>
      </c>
    </row>
    <row r="37" spans="1:24" x14ac:dyDescent="0.35">
      <c r="A37" s="1" t="s">
        <v>42</v>
      </c>
      <c r="B37" s="1">
        <v>21010</v>
      </c>
      <c r="C37" s="1" t="s">
        <v>5</v>
      </c>
      <c r="D37" s="23">
        <v>0</v>
      </c>
      <c r="E37" s="1" t="s">
        <v>6</v>
      </c>
      <c r="F37" s="23">
        <v>0.99998842592592596</v>
      </c>
      <c r="G37" s="1">
        <v>48.3</v>
      </c>
      <c r="H37" s="43">
        <v>72</v>
      </c>
      <c r="I37" s="1">
        <v>89</v>
      </c>
      <c r="J37" s="1">
        <v>-1</v>
      </c>
      <c r="K37" s="1">
        <v>-1</v>
      </c>
      <c r="L37" s="1">
        <v>-1</v>
      </c>
      <c r="M37" s="1">
        <v>97.9</v>
      </c>
      <c r="N37" s="1">
        <v>145.5</v>
      </c>
      <c r="O37" s="1">
        <v>179.8</v>
      </c>
      <c r="P37" s="1">
        <v>48.3</v>
      </c>
      <c r="Q37" s="1">
        <v>72</v>
      </c>
      <c r="R37" s="1">
        <v>89</v>
      </c>
      <c r="S37" s="1">
        <v>145.5</v>
      </c>
      <c r="T37" s="1">
        <v>179.8</v>
      </c>
      <c r="U37" s="1">
        <v>72</v>
      </c>
      <c r="V37" s="1">
        <v>89</v>
      </c>
      <c r="W37" s="1">
        <v>89</v>
      </c>
      <c r="X37" s="49">
        <v>45157</v>
      </c>
    </row>
    <row r="38" spans="1:24" x14ac:dyDescent="0.35">
      <c r="A38" s="1" t="s">
        <v>37</v>
      </c>
      <c r="B38" s="1">
        <v>21012</v>
      </c>
      <c r="C38" s="1" t="s">
        <v>5</v>
      </c>
      <c r="D38" s="23">
        <v>0</v>
      </c>
      <c r="E38" s="1" t="s">
        <v>6</v>
      </c>
      <c r="F38" s="23">
        <v>0.99998842592592596</v>
      </c>
      <c r="G38" s="1">
        <v>49.1</v>
      </c>
      <c r="H38" s="43">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9">
        <v>45143</v>
      </c>
    </row>
    <row r="39" spans="1:24" x14ac:dyDescent="0.35">
      <c r="A39" s="1" t="s">
        <v>38</v>
      </c>
      <c r="B39" s="1">
        <v>21014</v>
      </c>
      <c r="C39" s="1" t="s">
        <v>5</v>
      </c>
      <c r="D39" s="23">
        <v>0</v>
      </c>
      <c r="E39" s="1" t="s">
        <v>6</v>
      </c>
      <c r="F39" s="23">
        <v>0.99998842592592596</v>
      </c>
      <c r="G39" s="1">
        <v>50.6</v>
      </c>
      <c r="H39" s="43">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9">
        <v>45166</v>
      </c>
    </row>
    <row r="40" spans="1:24" x14ac:dyDescent="0.35">
      <c r="A40" s="1" t="s">
        <v>39</v>
      </c>
      <c r="B40" s="1">
        <v>21016</v>
      </c>
      <c r="C40" s="1" t="s">
        <v>5</v>
      </c>
      <c r="D40" s="23">
        <v>0</v>
      </c>
      <c r="E40" s="1" t="s">
        <v>6</v>
      </c>
      <c r="F40" s="23">
        <v>0.99998842592592596</v>
      </c>
      <c r="G40" s="1">
        <v>51.8</v>
      </c>
      <c r="H40" s="43">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9">
        <v>45162</v>
      </c>
    </row>
    <row r="41" spans="1:24" x14ac:dyDescent="0.35">
      <c r="H41" s="43">
        <f>SUMIFS(H2:H40, H2:H40, "&gt;20", H2:H40, "&gt;=0")</f>
        <v>1473.0000000000002</v>
      </c>
    </row>
    <row r="42" spans="1:24" x14ac:dyDescent="0.35">
      <c r="H42" s="44"/>
    </row>
  </sheetData>
  <conditionalFormatting sqref="A1:A1048576">
    <cfRule type="duplicateValues" dxfId="3" priority="4"/>
  </conditionalFormatting>
  <conditionalFormatting sqref="B1:B1048576">
    <cfRule type="duplicateValues" dxfId="2" priority="3"/>
  </conditionalFormatting>
  <conditionalFormatting sqref="G1:X1048576">
    <cfRule type="cellIs" dxfId="1" priority="2" operator="equal">
      <formula>-1</formula>
    </cfRule>
  </conditionalFormatting>
  <conditionalFormatting sqref="G1:X1048576">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C6" sqref="C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175</v>
      </c>
    </row>
    <row r="2" spans="1:5" x14ac:dyDescent="0.35">
      <c r="A2" s="2"/>
      <c r="B2" s="5" t="s">
        <v>159</v>
      </c>
      <c r="C2" s="2"/>
    </row>
    <row r="3" spans="1:5" x14ac:dyDescent="0.35">
      <c r="A3" s="6">
        <v>1</v>
      </c>
      <c r="B3" s="2" t="s">
        <v>107</v>
      </c>
      <c r="C3" s="2" t="s">
        <v>45</v>
      </c>
      <c r="E3" s="1">
        <v>5</v>
      </c>
    </row>
    <row r="4" spans="1:5" x14ac:dyDescent="0.35">
      <c r="A4" s="6">
        <v>2</v>
      </c>
      <c r="B4" s="2" t="s">
        <v>46</v>
      </c>
      <c r="C4" s="2"/>
      <c r="E4" s="1">
        <v>5</v>
      </c>
    </row>
    <row r="5" spans="1:5" ht="52.5" x14ac:dyDescent="0.35">
      <c r="A5" s="6">
        <v>3</v>
      </c>
      <c r="B5" s="2" t="s">
        <v>104</v>
      </c>
      <c r="C5" s="47" t="s">
        <v>177</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15" zoomScaleNormal="100" workbookViewId="0">
      <selection activeCell="H22" sqref="H22"/>
    </sheetView>
  </sheetViews>
  <sheetFormatPr defaultColWidth="11" defaultRowHeight="13" x14ac:dyDescent="0.3"/>
  <cols>
    <col min="1" max="1" width="18.59765625" style="2" bestFit="1" customWidth="1"/>
    <col min="2" max="2" width="15.3984375" style="55" customWidth="1"/>
    <col min="3" max="6" width="15.3984375" style="2" customWidth="1"/>
    <col min="7" max="7" width="11" style="2"/>
    <col min="8" max="8" width="14.3984375" style="2" bestFit="1" customWidth="1"/>
    <col min="9" max="16384" width="11" style="2"/>
  </cols>
  <sheetData>
    <row r="1" spans="1:7" s="39" customFormat="1" ht="21" x14ac:dyDescent="0.5">
      <c r="A1" s="40" t="s">
        <v>55</v>
      </c>
      <c r="B1" s="50" t="s">
        <v>163</v>
      </c>
    </row>
    <row r="2" spans="1:7" s="39" customFormat="1" ht="21" x14ac:dyDescent="0.5">
      <c r="B2" s="50" t="s">
        <v>160</v>
      </c>
    </row>
    <row r="3" spans="1:7" ht="14.5" x14ac:dyDescent="0.35">
      <c r="A3" s="1"/>
      <c r="B3" s="46"/>
      <c r="C3" s="1"/>
      <c r="D3" s="1"/>
      <c r="E3" s="1"/>
      <c r="F3" s="1"/>
      <c r="G3" s="1"/>
    </row>
    <row r="4" spans="1:7" ht="23.5" x14ac:dyDescent="0.55000000000000004">
      <c r="A4" s="17" t="s">
        <v>161</v>
      </c>
      <c r="B4" s="46"/>
      <c r="C4" s="1"/>
      <c r="D4" s="1"/>
      <c r="E4" s="1"/>
      <c r="F4" s="1"/>
      <c r="G4" s="1"/>
    </row>
    <row r="5" spans="1:7" ht="14.5" x14ac:dyDescent="0.35">
      <c r="A5" s="19" t="s">
        <v>64</v>
      </c>
      <c r="B5" s="51" t="s">
        <v>79</v>
      </c>
      <c r="C5" s="21" t="s">
        <v>71</v>
      </c>
      <c r="D5" s="20" t="s">
        <v>75</v>
      </c>
      <c r="E5" s="21" t="s">
        <v>76</v>
      </c>
      <c r="F5" s="22" t="s">
        <v>77</v>
      </c>
    </row>
    <row r="6" spans="1:7" ht="14.5" x14ac:dyDescent="0.35">
      <c r="A6" s="7" t="s">
        <v>40</v>
      </c>
      <c r="B6" s="52">
        <f>IFERROR(VLOOKUP(A6, Dataset!$A$2:$V$100, 7, FALSE), "Not Found")</f>
        <v>2.7</v>
      </c>
      <c r="C6" s="11">
        <f>IFERROR(VLOOKUP(A6, Dataset!$A$2:$V$100, 14, FALSE), "Not Found")</f>
        <v>7.6</v>
      </c>
      <c r="D6" s="11">
        <f>IFERROR(VLOOKUP(A6, Dataset!$A$2:$V$100, 18, FALSE), "Not Found")</f>
        <v>4.2</v>
      </c>
      <c r="E6" s="11">
        <f>IFERROR(VLOOKUP(A6, Dataset!$A$2:$V$100, 20, FALSE), "Not Found")</f>
        <v>8.9</v>
      </c>
      <c r="F6" s="8">
        <f>IFERROR(VLOOKUP(A6, Dataset!$A$2:$V$100, 22, FALSE), "Not Found")</f>
        <v>4.2</v>
      </c>
    </row>
    <row r="7" spans="1:7" ht="14" customHeight="1" x14ac:dyDescent="0.35">
      <c r="A7" s="7" t="s">
        <v>4</v>
      </c>
      <c r="B7" s="53">
        <f>IFERROR(VLOOKUP(A7, Dataset!$A$2:$G$100, 7, FALSE), "Not Found")</f>
        <v>2.7</v>
      </c>
      <c r="C7" s="11">
        <f>IFERROR(VLOOKUP(A7, Dataset!$A$2:$V$100, 14, FALSE), "Not Found")</f>
        <v>7.6</v>
      </c>
      <c r="D7" s="11">
        <f>IFERROR(VLOOKUP(A7, Dataset!$A$2:$V$100, 18, FALSE), "Not Found")</f>
        <v>4.2</v>
      </c>
      <c r="E7" s="11">
        <f>IFERROR(VLOOKUP(A7, Dataset!$A$2:$V$100, 20, FALSE), "Not Found")</f>
        <v>8.9</v>
      </c>
      <c r="F7" s="8">
        <f>IFERROR(VLOOKUP(A7, Dataset!$A$2:$V$100, 22, FALSE), "Not Found")</f>
        <v>4.2</v>
      </c>
    </row>
    <row r="8" spans="1:7" ht="14.5" x14ac:dyDescent="0.35">
      <c r="A8" s="7" t="s">
        <v>7</v>
      </c>
      <c r="B8" s="53">
        <f>IFERROR(VLOOKUP(A8, Dataset!$A$2:$G$100, 7, FALSE), "Not Found")</f>
        <v>3.6</v>
      </c>
      <c r="C8" s="11">
        <f>IFERROR(VLOOKUP(A8, Dataset!$A$2:$V$100, 14, FALSE), "Not Found")</f>
        <v>11.1</v>
      </c>
      <c r="D8" s="11">
        <f>IFERROR(VLOOKUP(A8, Dataset!$A$2:$V$100, 18, FALSE), "Not Found")</f>
        <v>5.8</v>
      </c>
      <c r="E8" s="11">
        <f>IFERROR(VLOOKUP(A8, Dataset!$A$2:$V$100, 20, FALSE), "Not Found")</f>
        <v>12.2</v>
      </c>
      <c r="F8" s="8">
        <f>IFERROR(VLOOKUP(A8, Dataset!$A$2:$V$100, 22, FALSE), "Not Found")</f>
        <v>5.8</v>
      </c>
    </row>
    <row r="9" spans="1:7" ht="14.5" x14ac:dyDescent="0.35">
      <c r="A9" s="7" t="s">
        <v>8</v>
      </c>
      <c r="B9" s="53">
        <f>IFERROR(VLOOKUP(A9, Dataset!$A$2:$G$100, 7, FALSE), "Not Found")</f>
        <v>4.9000000000000004</v>
      </c>
      <c r="C9" s="11">
        <f>IFERROR(VLOOKUP(A9, Dataset!$A$2:$V$100, 14, FALSE), "Not Found")</f>
        <v>13.3</v>
      </c>
      <c r="D9" s="11">
        <f>IFERROR(VLOOKUP(A9, Dataset!$A$2:$V$100, 18, FALSE), "Not Found")</f>
        <v>8.1</v>
      </c>
      <c r="E9" s="11">
        <f>IFERROR(VLOOKUP(A9, Dataset!$A$2:$V$100, 20, FALSE), "Not Found")</f>
        <v>17</v>
      </c>
      <c r="F9" s="8">
        <f>IFERROR(VLOOKUP(A9, Dataset!$A$2:$V$100, 22, FALSE), "Not Found")</f>
        <v>8.1</v>
      </c>
    </row>
    <row r="10" spans="1:7" ht="14.5" x14ac:dyDescent="0.35">
      <c r="A10" s="7" t="s">
        <v>11</v>
      </c>
      <c r="B10" s="53">
        <f>IFERROR(VLOOKUP(A10, Dataset!$A$2:$G$100, 7, FALSE), "Not Found")</f>
        <v>9.4</v>
      </c>
      <c r="C10" s="11">
        <f>IFERROR(VLOOKUP(A10, Dataset!$A$2:$V$100, 14, FALSE), "Not Found")</f>
        <v>28.3</v>
      </c>
      <c r="D10" s="11">
        <f>IFERROR(VLOOKUP(A10, Dataset!$A$2:$V$100, 18, FALSE), "Not Found")</f>
        <v>16.100000000000001</v>
      </c>
      <c r="E10" s="11">
        <f>IFERROR(VLOOKUP(A10, Dataset!$A$2:$V$100, 20, FALSE), "Not Found")</f>
        <v>32.799999999999997</v>
      </c>
      <c r="F10" s="8">
        <f>IFERROR(VLOOKUP(A10, Dataset!$A$2:$V$100, 22, FALSE), "Not Found")</f>
        <v>16.100000000000001</v>
      </c>
    </row>
    <row r="11" spans="1:7" ht="14.5" x14ac:dyDescent="0.35">
      <c r="A11" s="7" t="s">
        <v>12</v>
      </c>
      <c r="B11" s="53">
        <f>IFERROR(VLOOKUP(A11, Dataset!$A$2:$G$100, 7, FALSE), "Not Found")</f>
        <v>11.6</v>
      </c>
      <c r="C11" s="11">
        <f>IFERROR(VLOOKUP(A11, Dataset!$A$2:$V$100, 14, FALSE), "Not Found")</f>
        <v>35.200000000000003</v>
      </c>
      <c r="D11" s="11">
        <f>IFERROR(VLOOKUP(A11, Dataset!$A$2:$V$100, 18, FALSE), "Not Found")</f>
        <v>21.3</v>
      </c>
      <c r="E11" s="11">
        <f>IFERROR(VLOOKUP(A11, Dataset!$A$2:$V$100, 20, FALSE), "Not Found")</f>
        <v>43</v>
      </c>
      <c r="F11" s="8">
        <f>IFERROR(VLOOKUP(A11, Dataset!$A$2:$V$100, 22, FALSE), "Not Found")</f>
        <v>21.3</v>
      </c>
    </row>
    <row r="12" spans="1:7" ht="14.5" x14ac:dyDescent="0.35">
      <c r="A12" s="7" t="s">
        <v>14</v>
      </c>
      <c r="B12" s="53">
        <f>IFERROR(VLOOKUP(A12, Dataset!$A$2:$G$100, 7, FALSE), "Not Found")</f>
        <v>18.399999999999999</v>
      </c>
      <c r="C12" s="11">
        <f>IFERROR(VLOOKUP(A12, Dataset!$A$2:$V$100, 14, FALSE), "Not Found")</f>
        <v>55.6</v>
      </c>
      <c r="D12" s="11">
        <f>IFERROR(VLOOKUP(A12, Dataset!$A$2:$V$100, 18, FALSE), "Not Found")</f>
        <v>33.799999999999997</v>
      </c>
      <c r="E12" s="11">
        <f>IFERROR(VLOOKUP(A12, Dataset!$A$2:$V$100, 20, FALSE), "Not Found")</f>
        <v>67.900000000000006</v>
      </c>
      <c r="F12" s="8">
        <f>IFERROR(VLOOKUP(A12, Dataset!$A$2:$V$100, 22, FALSE), "Not Found")</f>
        <v>33.799999999999997</v>
      </c>
    </row>
    <row r="13" spans="1:7" ht="14.5" x14ac:dyDescent="0.35">
      <c r="A13" s="7" t="s">
        <v>15</v>
      </c>
      <c r="B13" s="53">
        <f>IFERROR(VLOOKUP(A13, Dataset!$A$2:$G$100, 7, FALSE), "Not Found")</f>
        <v>0</v>
      </c>
      <c r="C13" s="11">
        <f>IFERROR(VLOOKUP(A13, Dataset!$A$2:$V$100, 14, FALSE), "Not Found")</f>
        <v>0</v>
      </c>
      <c r="D13" s="11">
        <f>IFERROR(VLOOKUP(A13, Dataset!$A$2:$V$100, 18, FALSE), "Not Found")</f>
        <v>0</v>
      </c>
      <c r="E13" s="11">
        <f>IFERROR(VLOOKUP(A13, Dataset!$A$2:$V$100, 20, FALSE), "Not Found")</f>
        <v>0</v>
      </c>
      <c r="F13" s="8">
        <f>IFERROR(VLOOKUP(A13, Dataset!$A$2:$V$100, 22, FALSE), "Not Found")</f>
        <v>0</v>
      </c>
    </row>
    <row r="14" spans="1:7" ht="14.5" x14ac:dyDescent="0.35">
      <c r="A14" s="7" t="s">
        <v>16</v>
      </c>
      <c r="B14" s="53">
        <f>IFERROR(VLOOKUP(A14, Dataset!$A$2:$G$100, 7, FALSE), "Not Found")</f>
        <v>21.9</v>
      </c>
      <c r="C14" s="11">
        <f>IFERROR(VLOOKUP(A14, Dataset!$A$2:$V$100, 14, FALSE), "Not Found")</f>
        <v>61.5</v>
      </c>
      <c r="D14" s="11">
        <f>IFERROR(VLOOKUP(A14, Dataset!$A$2:$V$100, 18, FALSE), "Not Found")</f>
        <v>40.1</v>
      </c>
      <c r="E14" s="11">
        <f>IFERROR(VLOOKUP(A14, Dataset!$A$2:$V$100, 20, FALSE), "Not Found")</f>
        <v>76.599999999999994</v>
      </c>
      <c r="F14" s="8">
        <f>IFERROR(VLOOKUP(A14, Dataset!$A$2:$V$100, 22, FALSE), "Not Found")</f>
        <v>40.1</v>
      </c>
    </row>
    <row r="15" spans="1:7" ht="14.5" x14ac:dyDescent="0.35">
      <c r="A15" s="7" t="s">
        <v>18</v>
      </c>
      <c r="B15" s="53">
        <f>IFERROR(VLOOKUP(A15, Dataset!$A$2:$G$100, 7, FALSE), "Not Found")</f>
        <v>26.8</v>
      </c>
      <c r="C15" s="11">
        <f>IFERROR(VLOOKUP(A15, Dataset!$A$2:$V$100, 14, FALSE), "Not Found")</f>
        <v>79.599999999999994</v>
      </c>
      <c r="D15" s="11">
        <f>IFERROR(VLOOKUP(A15, Dataset!$A$2:$V$100, 18, FALSE), "Not Found")</f>
        <v>47.9</v>
      </c>
      <c r="E15" s="11">
        <f>IFERROR(VLOOKUP(A15, Dataset!$A$2:$V$100, 20, FALSE), "Not Found")</f>
        <v>96.8</v>
      </c>
      <c r="F15" s="8">
        <f>IFERROR(VLOOKUP(A15, Dataset!$A$2:$V$100, 22, FALSE), "Not Found")</f>
        <v>47.9</v>
      </c>
    </row>
    <row r="16" spans="1:7" ht="14.5" x14ac:dyDescent="0.35">
      <c r="A16" s="7" t="s">
        <v>20</v>
      </c>
      <c r="B16" s="53">
        <f>IFERROR(VLOOKUP(A16, Dataset!$A$2:$G$100, 7, FALSE), "Not Found")</f>
        <v>28.5</v>
      </c>
      <c r="C16" s="11">
        <f>IFERROR(VLOOKUP(A16, Dataset!$A$2:$V$100, 14, FALSE), "Not Found")</f>
        <v>85.4</v>
      </c>
      <c r="D16" s="11">
        <f>IFERROR(VLOOKUP(A16, Dataset!$A$2:$V$100, 18, FALSE), "Not Found")</f>
        <v>52.3</v>
      </c>
      <c r="E16" s="11">
        <f>IFERROR(VLOOKUP(A16, Dataset!$A$2:$V$100, 20, FALSE), "Not Found")</f>
        <v>106.1</v>
      </c>
      <c r="F16" s="8">
        <f>IFERROR(VLOOKUP(A16, Dataset!$A$2:$V$100, 22, FALSE), "Not Found")</f>
        <v>52.3</v>
      </c>
    </row>
    <row r="17" spans="1:6" ht="14.5" x14ac:dyDescent="0.35">
      <c r="A17" s="7" t="s">
        <v>22</v>
      </c>
      <c r="B17" s="53">
        <f>IFERROR(VLOOKUP(A17, Dataset!$A$2:$G$100, 7, FALSE), "Not Found")</f>
        <v>30.7</v>
      </c>
      <c r="C17" s="11">
        <f>IFERROR(VLOOKUP(A17, Dataset!$A$2:$V$100, 14, FALSE), "Not Found")</f>
        <v>92.1</v>
      </c>
      <c r="D17" s="11">
        <f>IFERROR(VLOOKUP(A17, Dataset!$A$2:$V$100, 18, FALSE), "Not Found")</f>
        <v>57</v>
      </c>
      <c r="E17" s="11">
        <f>IFERROR(VLOOKUP(A17, Dataset!$A$2:$V$100, 20, FALSE), "Not Found")</f>
        <v>115.1</v>
      </c>
      <c r="F17" s="8">
        <f>IFERROR(VLOOKUP(A17, Dataset!$A$2:$V$100, 22, FALSE), "Not Found")</f>
        <v>57</v>
      </c>
    </row>
    <row r="18" spans="1:6" ht="14.5" x14ac:dyDescent="0.35">
      <c r="A18" s="7" t="s">
        <v>23</v>
      </c>
      <c r="B18" s="53">
        <f>IFERROR(VLOOKUP(A18, Dataset!$A$2:$G$100, 7, FALSE), "Not Found")</f>
        <v>33.799999999999997</v>
      </c>
      <c r="C18" s="11">
        <f>IFERROR(VLOOKUP(A18, Dataset!$A$2:$V$100, 14, FALSE), "Not Found")</f>
        <v>101.3</v>
      </c>
      <c r="D18" s="11">
        <f>IFERROR(VLOOKUP(A18, Dataset!$A$2:$V$100, 18, FALSE), "Not Found")</f>
        <v>61.4</v>
      </c>
      <c r="E18" s="11">
        <f>IFERROR(VLOOKUP(A18, Dataset!$A$2:$V$100, 20, FALSE), "Not Found")</f>
        <v>124.4</v>
      </c>
      <c r="F18" s="8">
        <f>IFERROR(VLOOKUP(A18, Dataset!$A$2:$V$100, 22, FALSE), "Not Found")</f>
        <v>61.4</v>
      </c>
    </row>
    <row r="19" spans="1:6" ht="14.5" x14ac:dyDescent="0.35">
      <c r="A19" s="7" t="s">
        <v>24</v>
      </c>
      <c r="B19" s="53">
        <f>IFERROR(VLOOKUP(A19, Dataset!$A$2:$G$100, 7, FALSE), "Not Found")</f>
        <v>34.700000000000003</v>
      </c>
      <c r="C19" s="11">
        <f>IFERROR(VLOOKUP(A19, Dataset!$A$2:$V$100, 14, FALSE), "Not Found")</f>
        <v>106.1</v>
      </c>
      <c r="D19" s="11">
        <f>IFERROR(VLOOKUP(A19, Dataset!$A$2:$V$100, 18, FALSE), "Not Found")</f>
        <v>63.6</v>
      </c>
      <c r="E19" s="11">
        <f>IFERROR(VLOOKUP(A19, Dataset!$A$2:$V$100, 20, FALSE), "Not Found")</f>
        <v>128.6</v>
      </c>
      <c r="F19" s="8">
        <f>IFERROR(VLOOKUP(A19, Dataset!$A$2:$V$100, 22, FALSE), "Not Found")</f>
        <v>63.6</v>
      </c>
    </row>
    <row r="20" spans="1:6" ht="14.5" x14ac:dyDescent="0.35">
      <c r="A20" s="7" t="s">
        <v>28</v>
      </c>
      <c r="B20" s="53">
        <f>IFERROR(VLOOKUP(A20, Dataset!$A$2:$G$100, 7, FALSE), "Not Found")</f>
        <v>0</v>
      </c>
      <c r="C20" s="11">
        <f>IFERROR(VLOOKUP(A20, Dataset!$A$2:$V$100, 14, FALSE), "Not Found")</f>
        <v>0</v>
      </c>
      <c r="D20" s="11">
        <f>IFERROR(VLOOKUP(A20, Dataset!$A$2:$V$100, 18, FALSE), "Not Found")</f>
        <v>0</v>
      </c>
      <c r="E20" s="11">
        <f>IFERROR(VLOOKUP(A20, Dataset!$A$2:$V$100, 20, FALSE), "Not Found")</f>
        <v>0</v>
      </c>
      <c r="F20" s="8">
        <f>IFERROR(VLOOKUP(A20, Dataset!$A$2:$V$100, 22, FALSE), "Not Found")</f>
        <v>0</v>
      </c>
    </row>
    <row r="21" spans="1:6" ht="14.5" x14ac:dyDescent="0.35">
      <c r="A21" s="7" t="s">
        <v>57</v>
      </c>
      <c r="B21" s="53">
        <f>IFERROR(VLOOKUP(A21, Dataset!$A$2:$G$100, 7, FALSE), "Not Found")</f>
        <v>41.3</v>
      </c>
      <c r="C21" s="11">
        <f>IFERROR(VLOOKUP(A21, Dataset!$A$2:$V$100, 14, FALSE), "Not Found")</f>
        <v>124.4</v>
      </c>
      <c r="D21" s="11">
        <f>IFERROR(VLOOKUP(A21, Dataset!$A$2:$V$100, 18, FALSE), "Not Found")</f>
        <v>75</v>
      </c>
      <c r="E21" s="11">
        <f>IFERROR(VLOOKUP(A21, Dataset!$A$2:$V$100, 20, FALSE), "Not Found")</f>
        <v>151.5</v>
      </c>
      <c r="F21" s="8">
        <f>IFERROR(VLOOKUP(A21, Dataset!$A$2:$V$100, 22, FALSE), "Not Found")</f>
        <v>75</v>
      </c>
    </row>
    <row r="22" spans="1:6" ht="14.5" x14ac:dyDescent="0.35">
      <c r="A22" s="7" t="s">
        <v>58</v>
      </c>
      <c r="B22" s="53">
        <f>IFERROR(VLOOKUP(A22, Dataset!$A$2:$G$100, 7, FALSE), "Not Found")</f>
        <v>-1</v>
      </c>
      <c r="C22" s="11">
        <f>IFERROR(VLOOKUP(A22, Dataset!$A$2:$V$100, 14, FALSE), "Not Found")</f>
        <v>-1</v>
      </c>
      <c r="D22" s="11">
        <f>IFERROR(VLOOKUP(A22, Dataset!$A$2:$V$100, 18, FALSE), "Not Found")</f>
        <v>-1</v>
      </c>
      <c r="E22" s="11">
        <f>IFERROR(VLOOKUP(A22, Dataset!$A$2:$V$100, 20, FALSE), "Not Found")</f>
        <v>-1</v>
      </c>
      <c r="F22" s="8">
        <f>IFERROR(VLOOKUP(A22, Dataset!$A$2:$V$100, 22, FALSE), "Not Found")</f>
        <v>-1</v>
      </c>
    </row>
    <row r="23" spans="1:6" ht="14.5" x14ac:dyDescent="0.35">
      <c r="A23" s="7" t="s">
        <v>31</v>
      </c>
      <c r="B23" s="53">
        <f>IFERROR(VLOOKUP(A23, Dataset!$A$2:$G$100, 7, FALSE), "Not Found")</f>
        <v>45</v>
      </c>
      <c r="C23" s="11">
        <f>IFERROR(VLOOKUP(A23, Dataset!$A$2:$V$100, 14, FALSE), "Not Found")</f>
        <v>133.4</v>
      </c>
      <c r="D23" s="11">
        <f>IFERROR(VLOOKUP(A23, Dataset!$A$2:$V$100, 18, FALSE), "Not Found")</f>
        <v>79.400000000000006</v>
      </c>
      <c r="E23" s="11">
        <f>IFERROR(VLOOKUP(A23, Dataset!$A$2:$V$100, 20, FALSE), "Not Found")</f>
        <v>160.9</v>
      </c>
      <c r="F23" s="8">
        <f>IFERROR(VLOOKUP(A23, Dataset!$A$2:$V$100, 22, FALSE), "Not Found")</f>
        <v>79.400000000000006</v>
      </c>
    </row>
    <row r="24" spans="1:6" ht="14.5" x14ac:dyDescent="0.35">
      <c r="A24" s="7" t="s">
        <v>32</v>
      </c>
      <c r="B24" s="53">
        <f>IFERROR(VLOOKUP(A24, Dataset!$A$2:$G$100, 7, FALSE), "Not Found")</f>
        <v>-1</v>
      </c>
      <c r="C24" s="11">
        <f>IFERROR(VLOOKUP(A24, Dataset!$A$2:$V$100, 14, FALSE), "Not Found")</f>
        <v>-1</v>
      </c>
      <c r="D24" s="11">
        <f>IFERROR(VLOOKUP(A24, Dataset!$A$2:$V$100, 18, FALSE), "Not Found")</f>
        <v>-1</v>
      </c>
      <c r="E24" s="11">
        <f>IFERROR(VLOOKUP(A24, Dataset!$A$2:$V$100, 20, FALSE), "Not Found")</f>
        <v>-1</v>
      </c>
      <c r="F24" s="8">
        <f>IFERROR(VLOOKUP(A24, Dataset!$A$2:$V$100, 22, FALSE), "Not Found")</f>
        <v>-1</v>
      </c>
    </row>
    <row r="25" spans="1:6" ht="14.5" x14ac:dyDescent="0.35">
      <c r="A25" s="7" t="s">
        <v>34</v>
      </c>
      <c r="B25" s="53">
        <f>IFERROR(VLOOKUP(A25, Dataset!$A$2:$G$100, 7, FALSE), "Not Found")</f>
        <v>43.3</v>
      </c>
      <c r="C25" s="11">
        <f>IFERROR(VLOOKUP(A25, Dataset!$A$2:$V$100, 14, FALSE), "Not Found")</f>
        <v>128.6</v>
      </c>
      <c r="D25" s="11">
        <f>IFERROR(VLOOKUP(A25, Dataset!$A$2:$V$100, 18, FALSE), "Not Found")</f>
        <v>79.400000000000006</v>
      </c>
      <c r="E25" s="11">
        <f>IFERROR(VLOOKUP(A25, Dataset!$A$2:$V$100, 20, FALSE), "Not Found")</f>
        <v>160.9</v>
      </c>
      <c r="F25" s="8">
        <f>IFERROR(VLOOKUP(A25, Dataset!$A$2:$V$100, 22, FALSE), "Not Found")</f>
        <v>79.400000000000006</v>
      </c>
    </row>
    <row r="26" spans="1:6" ht="14.5" x14ac:dyDescent="0.35">
      <c r="A26" s="7" t="s">
        <v>37</v>
      </c>
      <c r="B26" s="53">
        <f>IFERROR(VLOOKUP(A26, Dataset!$A$2:$G$100, 7, FALSE), "Not Found")</f>
        <v>49.1</v>
      </c>
      <c r="C26" s="11">
        <f>IFERROR(VLOOKUP(A26, Dataset!$A$2:$V$100, 14, FALSE), "Not Found")</f>
        <v>146.80000000000001</v>
      </c>
      <c r="D26" s="11">
        <f>IFERROR(VLOOKUP(A26, Dataset!$A$2:$V$100, 18, FALSE), "Not Found")</f>
        <v>90.9</v>
      </c>
      <c r="E26" s="11">
        <f>IFERROR(VLOOKUP(A26, Dataset!$A$2:$V$100, 20, FALSE), "Not Found")</f>
        <v>183.5</v>
      </c>
      <c r="F26" s="8">
        <f>IFERROR(VLOOKUP(A26, Dataset!$A$2:$V$100, 22, FALSE), "Not Found")</f>
        <v>90.9</v>
      </c>
    </row>
    <row r="27" spans="1:6" ht="14.5" x14ac:dyDescent="0.35">
      <c r="A27" s="7" t="s">
        <v>39</v>
      </c>
      <c r="B27" s="53">
        <f>IFERROR(VLOOKUP(A27, Dataset!$A$2:$G$100, 7, FALSE), "Not Found")</f>
        <v>51.8</v>
      </c>
      <c r="C27" s="11">
        <f>IFERROR(VLOOKUP(A27, Dataset!$A$2:$V$100, 14, FALSE), "Not Found")</f>
        <v>156.4</v>
      </c>
      <c r="D27" s="11">
        <f>IFERROR(VLOOKUP(A27, Dataset!$A$2:$V$100, 18, FALSE), "Not Found")</f>
        <v>93.1</v>
      </c>
      <c r="E27" s="11">
        <f>IFERROR(VLOOKUP(A27, Dataset!$A$2:$V$100, 20, FALSE), "Not Found")</f>
        <v>188.1</v>
      </c>
      <c r="F27" s="8">
        <f>IFERROR(VLOOKUP(A27, Dataset!$A$2:$V$100, 22, FALSE), "Not Found")</f>
        <v>93.1</v>
      </c>
    </row>
    <row r="28" spans="1:6" ht="14.5" x14ac:dyDescent="0.35">
      <c r="A28" s="18" t="s">
        <v>82</v>
      </c>
      <c r="B28" s="54">
        <f>MIN(B6:B27)</f>
        <v>-1</v>
      </c>
      <c r="C28" s="30">
        <f>MIN(C6:C27)</f>
        <v>-1</v>
      </c>
      <c r="D28" s="30">
        <f>MIN(D6:D27)</f>
        <v>-1</v>
      </c>
      <c r="E28" s="30">
        <f>MIN(E6:E27)</f>
        <v>-1</v>
      </c>
      <c r="F28" s="30">
        <f>MIN(F6:F27)</f>
        <v>-1</v>
      </c>
    </row>
    <row r="29" spans="1:6" ht="14.5" x14ac:dyDescent="0.35">
      <c r="A29" s="18" t="s">
        <v>83</v>
      </c>
      <c r="B29" s="54">
        <f>MAX(B6:B28)</f>
        <v>51.8</v>
      </c>
      <c r="C29" s="30">
        <f>MAX(C6:C28)</f>
        <v>156.4</v>
      </c>
      <c r="D29" s="30">
        <f>MAX(D6:D28)</f>
        <v>93.1</v>
      </c>
      <c r="E29" s="30">
        <f>MAX(E6:E28)</f>
        <v>188.1</v>
      </c>
      <c r="F29" s="30">
        <f>MAX(F6:F28)</f>
        <v>93.1</v>
      </c>
    </row>
    <row r="30" spans="1:6" ht="14.5" x14ac:dyDescent="0.35">
      <c r="A30" s="18" t="s">
        <v>84</v>
      </c>
      <c r="B30" s="54">
        <f>AVERAGE(B6:B27)</f>
        <v>20.827272727272728</v>
      </c>
      <c r="C30" s="30">
        <f>AVERAGE(C6:C27)</f>
        <v>62.377272727272725</v>
      </c>
      <c r="D30" s="30">
        <f>AVERAGE(D6:D27)</f>
        <v>37.800000000000004</v>
      </c>
      <c r="E30" s="30">
        <f>AVERAGE(E6:E27)</f>
        <v>76.418181818181822</v>
      </c>
      <c r="F30" s="30">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5"/>
  <sheetViews>
    <sheetView topLeftCell="A36" zoomScaleNormal="100" workbookViewId="0">
      <selection activeCell="G8" sqref="G8"/>
    </sheetView>
  </sheetViews>
  <sheetFormatPr defaultColWidth="11" defaultRowHeight="14.5" x14ac:dyDescent="0.35"/>
  <cols>
    <col min="1" max="1" width="39.796875" style="1" bestFit="1" customWidth="1"/>
    <col min="2" max="16384" width="11" style="1"/>
  </cols>
  <sheetData>
    <row r="1" spans="1:10" s="39" customFormat="1" ht="21" x14ac:dyDescent="0.5">
      <c r="A1" s="40" t="s">
        <v>56</v>
      </c>
      <c r="B1" s="39" t="s">
        <v>173</v>
      </c>
    </row>
    <row r="2" spans="1:10" customFormat="1" ht="13" x14ac:dyDescent="0.3"/>
    <row r="3" spans="1:10" s="2" customFormat="1" x14ac:dyDescent="0.35">
      <c r="B3" s="1"/>
    </row>
    <row r="4" spans="1:10" s="2" customFormat="1" x14ac:dyDescent="0.35">
      <c r="B4" s="1" t="s">
        <v>150</v>
      </c>
    </row>
    <row r="5" spans="1:10" ht="18.5" x14ac:dyDescent="0.45">
      <c r="A5" s="41" t="s">
        <v>53</v>
      </c>
      <c r="B5" s="56" t="s">
        <v>178</v>
      </c>
      <c r="C5" s="56"/>
      <c r="D5" s="56"/>
      <c r="E5" s="56" t="s">
        <v>180</v>
      </c>
      <c r="F5" s="56"/>
    </row>
    <row r="6" spans="1:10" ht="18.5" x14ac:dyDescent="0.45">
      <c r="A6" s="41" t="s">
        <v>152</v>
      </c>
      <c r="B6" s="38" t="s">
        <v>179</v>
      </c>
    </row>
    <row r="7" spans="1:10" ht="18.5" x14ac:dyDescent="0.45">
      <c r="A7" s="41"/>
      <c r="B7" s="38" t="s">
        <v>181</v>
      </c>
    </row>
    <row r="8" spans="1:10" ht="18.5" x14ac:dyDescent="0.45">
      <c r="A8" s="41"/>
      <c r="B8" s="1" t="s">
        <v>182</v>
      </c>
    </row>
    <row r="9" spans="1:10" ht="18.5" x14ac:dyDescent="0.45">
      <c r="A9" s="41"/>
      <c r="I9" s="2"/>
      <c r="J9" s="2"/>
    </row>
    <row r="10" spans="1:10" ht="23.5" x14ac:dyDescent="0.55000000000000004">
      <c r="A10" s="17" t="s">
        <v>164</v>
      </c>
      <c r="B10" s="16" t="s">
        <v>49</v>
      </c>
      <c r="C10" s="16" t="s">
        <v>50</v>
      </c>
      <c r="D10" s="16" t="s">
        <v>51</v>
      </c>
      <c r="E10" s="16" t="s">
        <v>52</v>
      </c>
      <c r="F10" s="16" t="s">
        <v>54</v>
      </c>
      <c r="I10" s="2"/>
      <c r="J10" s="2"/>
    </row>
    <row r="11" spans="1:10" x14ac:dyDescent="0.35">
      <c r="A11" s="32" t="s">
        <v>102</v>
      </c>
      <c r="B11" s="12">
        <v>20000</v>
      </c>
      <c r="C11" s="12" t="s">
        <v>5</v>
      </c>
      <c r="D11" s="12">
        <v>0</v>
      </c>
      <c r="E11" s="10" t="s">
        <v>6</v>
      </c>
      <c r="F11" s="10">
        <v>24</v>
      </c>
      <c r="I11" s="2"/>
      <c r="J11" s="2"/>
    </row>
    <row r="12" spans="1:10" x14ac:dyDescent="0.35">
      <c r="A12" s="9" t="s">
        <v>120</v>
      </c>
    </row>
    <row r="15" spans="1:10" ht="23.5" x14ac:dyDescent="0.55000000000000004">
      <c r="A15" s="17" t="s">
        <v>161</v>
      </c>
    </row>
    <row r="16" spans="1:10" x14ac:dyDescent="0.35">
      <c r="A16" s="13" t="s">
        <v>103</v>
      </c>
      <c r="B16" s="16" t="s">
        <v>49</v>
      </c>
      <c r="C16" s="14" t="s">
        <v>50</v>
      </c>
      <c r="D16" s="16" t="s">
        <v>51</v>
      </c>
      <c r="E16" s="14" t="s">
        <v>52</v>
      </c>
      <c r="F16" s="16" t="s">
        <v>54</v>
      </c>
    </row>
    <row r="17" spans="1:6" x14ac:dyDescent="0.35">
      <c r="A17" s="7" t="s">
        <v>120</v>
      </c>
      <c r="B17" s="11" t="str">
        <f>LEFT(A17, FIND("-", A17) - 1)</f>
        <v>20000</v>
      </c>
      <c r="C17" s="1" t="str">
        <f>MID(A17, FIND("-", A17) + 1, FIND("-", A17, FIND("-", A17) + 1) - FIND("-", A17) - 1)</f>
        <v>Monday</v>
      </c>
      <c r="D17" s="11" t="str">
        <f>MID(A17, FIND("-", A17, FIND("-", A17) + 1) + 1, FIND("-", A17, FIND("-", A17, FIND("-", A17) + 1) + 1) - FIND("-", A17, FIND("-", A17) + 1) - 1)</f>
        <v>0</v>
      </c>
      <c r="E17" s="1" t="str">
        <f>MID(A17, FIND("-", A17, FIND("-", A17, FIND("-", A17) + 1) + 1) + 1, FIND("-", A17, FIND("-", A17, FIND("-", A17, FIND("-", A17) + 1) + 1) + 1) - FIND("-", A17, FIND("-", A17, FIND("-", A17) + 1) + 1) - 1)</f>
        <v>Sunday</v>
      </c>
      <c r="F17" s="11" t="str">
        <f>RIGHT(A17, LEN(A17) - FIND("-", A17, FIND("-", A17, FIND("-", A17, FIND("-", A17) + 1) + 1) + 1))</f>
        <v>24</v>
      </c>
    </row>
    <row r="18" spans="1:6" x14ac:dyDescent="0.35">
      <c r="A18" s="7" t="s">
        <v>121</v>
      </c>
      <c r="B18" s="11" t="str">
        <f t="shared" ref="B18:B55" si="0">LEFT(A18, FIND("-", A18) - 1)</f>
        <v>20002</v>
      </c>
      <c r="C18" s="1" t="str">
        <f t="shared" ref="C18:C55" si="1">MID(A18, FIND("-", A18) + 1, FIND("-", A18, FIND("-", A18) + 1) - FIND("-", A18) - 1)</f>
        <v>Monday</v>
      </c>
      <c r="D18" s="11" t="str">
        <f t="shared" ref="D18:D55" si="2">MID(A18, FIND("-", A18, FIND("-", A18) + 1) + 1, FIND("-", A18, FIND("-", A18, FIND("-", A18) + 1) + 1) - FIND("-", A18, FIND("-", A18) + 1) - 1)</f>
        <v>0</v>
      </c>
      <c r="E18" s="1" t="str">
        <f t="shared" ref="E18:E55" si="3">MID(A18, FIND("-", A18, FIND("-", A18, FIND("-", A18) + 1) + 1) + 1, FIND("-", A18, FIND("-", A18, FIND("-", A18, FIND("-", A18) + 1) + 1) + 1) - FIND("-", A18, FIND("-", A18, FIND("-", A18) + 1) + 1) - 1)</f>
        <v>Sunday</v>
      </c>
      <c r="F18" s="11" t="str">
        <f t="shared" ref="F18:F55" si="4">RIGHT(A18, LEN(A18) - FIND("-", A18, FIND("-", A18, FIND("-", A18, FIND("-", A18) + 1) + 1) + 1))</f>
        <v>24</v>
      </c>
    </row>
    <row r="19" spans="1:6" x14ac:dyDescent="0.35">
      <c r="A19" s="7" t="s">
        <v>122</v>
      </c>
      <c r="B19" s="11" t="str">
        <f t="shared" si="0"/>
        <v>20004</v>
      </c>
      <c r="C19" s="1" t="str">
        <f t="shared" si="1"/>
        <v>Monday</v>
      </c>
      <c r="D19" s="11" t="str">
        <f t="shared" si="2"/>
        <v>0</v>
      </c>
      <c r="E19" s="1" t="str">
        <f t="shared" si="3"/>
        <v>Sunday</v>
      </c>
      <c r="F19" s="11" t="str">
        <f t="shared" si="4"/>
        <v>24</v>
      </c>
    </row>
    <row r="20" spans="1:6" x14ac:dyDescent="0.35">
      <c r="A20" s="7" t="s">
        <v>123</v>
      </c>
      <c r="B20" s="11" t="str">
        <f t="shared" si="0"/>
        <v>20006</v>
      </c>
      <c r="C20" s="1" t="str">
        <f t="shared" si="1"/>
        <v>Monday</v>
      </c>
      <c r="D20" s="11" t="str">
        <f t="shared" si="2"/>
        <v>0</v>
      </c>
      <c r="E20" s="1" t="str">
        <f t="shared" si="3"/>
        <v>Sunday</v>
      </c>
      <c r="F20" s="11" t="str">
        <f t="shared" si="4"/>
        <v>24</v>
      </c>
    </row>
    <row r="21" spans="1:6" x14ac:dyDescent="0.35">
      <c r="A21" s="7" t="s">
        <v>124</v>
      </c>
      <c r="B21" s="11" t="str">
        <f t="shared" si="0"/>
        <v>20008</v>
      </c>
      <c r="C21" s="1" t="str">
        <f t="shared" si="1"/>
        <v>Monday</v>
      </c>
      <c r="D21" s="11" t="str">
        <f t="shared" si="2"/>
        <v>0</v>
      </c>
      <c r="E21" s="1" t="str">
        <f t="shared" si="3"/>
        <v>Sunday</v>
      </c>
      <c r="F21" s="11" t="str">
        <f t="shared" si="4"/>
        <v>24</v>
      </c>
    </row>
    <row r="22" spans="1:6" x14ac:dyDescent="0.35">
      <c r="A22" s="7" t="s">
        <v>125</v>
      </c>
      <c r="B22" s="11" t="str">
        <f t="shared" si="0"/>
        <v>20010</v>
      </c>
      <c r="C22" s="1" t="str">
        <f t="shared" si="1"/>
        <v>Monday</v>
      </c>
      <c r="D22" s="11" t="str">
        <f t="shared" si="2"/>
        <v>0</v>
      </c>
      <c r="E22" s="1" t="str">
        <f t="shared" si="3"/>
        <v>Sunday</v>
      </c>
      <c r="F22" s="11" t="str">
        <f t="shared" si="4"/>
        <v>24</v>
      </c>
    </row>
    <row r="23" spans="1:6" x14ac:dyDescent="0.35">
      <c r="A23" s="7" t="s">
        <v>126</v>
      </c>
      <c r="B23" s="11" t="str">
        <f t="shared" si="0"/>
        <v>20012</v>
      </c>
      <c r="C23" s="1" t="str">
        <f t="shared" si="1"/>
        <v>Monday</v>
      </c>
      <c r="D23" s="11" t="str">
        <f t="shared" si="2"/>
        <v>0</v>
      </c>
      <c r="E23" s="1" t="str">
        <f t="shared" si="3"/>
        <v>Sunday</v>
      </c>
      <c r="F23" s="11" t="str">
        <f t="shared" si="4"/>
        <v>24</v>
      </c>
    </row>
    <row r="24" spans="1:6" x14ac:dyDescent="0.35">
      <c r="A24" s="7" t="s">
        <v>127</v>
      </c>
      <c r="B24" s="11" t="str">
        <f t="shared" si="0"/>
        <v>20014</v>
      </c>
      <c r="C24" s="1" t="str">
        <f t="shared" si="1"/>
        <v>Monday</v>
      </c>
      <c r="D24" s="11" t="str">
        <f t="shared" si="2"/>
        <v>0</v>
      </c>
      <c r="E24" s="1" t="str">
        <f t="shared" si="3"/>
        <v>Sunday</v>
      </c>
      <c r="F24" s="11" t="str">
        <f t="shared" si="4"/>
        <v>24</v>
      </c>
    </row>
    <row r="25" spans="1:6" x14ac:dyDescent="0.35">
      <c r="A25" s="7" t="s">
        <v>128</v>
      </c>
      <c r="B25" s="11" t="str">
        <f t="shared" si="0"/>
        <v>20016</v>
      </c>
      <c r="C25" s="1" t="str">
        <f t="shared" si="1"/>
        <v>Monday</v>
      </c>
      <c r="D25" s="11" t="str">
        <f t="shared" si="2"/>
        <v>0</v>
      </c>
      <c r="E25" s="1" t="str">
        <f t="shared" si="3"/>
        <v>Sunday</v>
      </c>
      <c r="F25" s="11" t="str">
        <f t="shared" si="4"/>
        <v>24</v>
      </c>
    </row>
    <row r="26" spans="1:6" x14ac:dyDescent="0.35">
      <c r="A26" s="7" t="s">
        <v>129</v>
      </c>
      <c r="B26" s="11" t="str">
        <f t="shared" si="0"/>
        <v>20018</v>
      </c>
      <c r="C26" s="1" t="str">
        <f t="shared" si="1"/>
        <v>Monday</v>
      </c>
      <c r="D26" s="11" t="str">
        <f t="shared" si="2"/>
        <v>0</v>
      </c>
      <c r="E26" s="1" t="str">
        <f t="shared" si="3"/>
        <v>Sunday</v>
      </c>
      <c r="F26" s="11" t="str">
        <f t="shared" si="4"/>
        <v>24</v>
      </c>
    </row>
    <row r="27" spans="1:6" x14ac:dyDescent="0.35">
      <c r="A27" s="7" t="s">
        <v>130</v>
      </c>
      <c r="B27" s="11" t="str">
        <f t="shared" si="0"/>
        <v>20020</v>
      </c>
      <c r="C27" s="1" t="str">
        <f t="shared" si="1"/>
        <v>Monday</v>
      </c>
      <c r="D27" s="11" t="str">
        <f t="shared" si="2"/>
        <v>0</v>
      </c>
      <c r="E27" s="1" t="str">
        <f t="shared" si="3"/>
        <v>Sunday</v>
      </c>
      <c r="F27" s="11" t="str">
        <f t="shared" si="4"/>
        <v>24</v>
      </c>
    </row>
    <row r="28" spans="1:6" x14ac:dyDescent="0.35">
      <c r="A28" s="7" t="s">
        <v>131</v>
      </c>
      <c r="B28" s="11" t="str">
        <f t="shared" si="0"/>
        <v>20022</v>
      </c>
      <c r="C28" s="1" t="str">
        <f t="shared" si="1"/>
        <v>Monday</v>
      </c>
      <c r="D28" s="11" t="str">
        <f t="shared" si="2"/>
        <v>0</v>
      </c>
      <c r="E28" s="1" t="str">
        <f t="shared" si="3"/>
        <v>Sunday</v>
      </c>
      <c r="F28" s="11" t="str">
        <f t="shared" si="4"/>
        <v>24</v>
      </c>
    </row>
    <row r="29" spans="1:6" x14ac:dyDescent="0.35">
      <c r="A29" s="7" t="s">
        <v>132</v>
      </c>
      <c r="B29" s="11" t="str">
        <f t="shared" si="0"/>
        <v>20024</v>
      </c>
      <c r="C29" s="1" t="str">
        <f t="shared" si="1"/>
        <v>Monday</v>
      </c>
      <c r="D29" s="11" t="str">
        <f t="shared" si="2"/>
        <v>0</v>
      </c>
      <c r="E29" s="1" t="str">
        <f t="shared" si="3"/>
        <v>Sunday</v>
      </c>
      <c r="F29" s="11" t="str">
        <f t="shared" si="4"/>
        <v>24</v>
      </c>
    </row>
    <row r="30" spans="1:6" x14ac:dyDescent="0.35">
      <c r="A30" s="7" t="s">
        <v>133</v>
      </c>
      <c r="B30" s="11" t="str">
        <f t="shared" si="0"/>
        <v>20026</v>
      </c>
      <c r="C30" s="1" t="str">
        <f t="shared" si="1"/>
        <v>Monday</v>
      </c>
      <c r="D30" s="11" t="str">
        <f t="shared" si="2"/>
        <v>0</v>
      </c>
      <c r="E30" s="1" t="str">
        <f t="shared" si="3"/>
        <v>Sunday</v>
      </c>
      <c r="F30" s="11" t="str">
        <f t="shared" si="4"/>
        <v>24</v>
      </c>
    </row>
    <row r="31" spans="1:6" x14ac:dyDescent="0.35">
      <c r="A31" s="7" t="s">
        <v>134</v>
      </c>
      <c r="B31" s="11" t="str">
        <f t="shared" si="0"/>
        <v>20028</v>
      </c>
      <c r="C31" s="1" t="str">
        <f t="shared" si="1"/>
        <v>Monday</v>
      </c>
      <c r="D31" s="11" t="str">
        <f t="shared" si="2"/>
        <v>0</v>
      </c>
      <c r="E31" s="1" t="str">
        <f t="shared" si="3"/>
        <v>Sunday</v>
      </c>
      <c r="F31" s="11" t="str">
        <f t="shared" si="4"/>
        <v>24</v>
      </c>
    </row>
    <row r="32" spans="1:6" x14ac:dyDescent="0.35">
      <c r="A32" s="7" t="s">
        <v>135</v>
      </c>
      <c r="B32" s="11" t="str">
        <f t="shared" si="0"/>
        <v>20030</v>
      </c>
      <c r="C32" s="1" t="str">
        <f t="shared" si="1"/>
        <v>Monday</v>
      </c>
      <c r="D32" s="11" t="str">
        <f t="shared" si="2"/>
        <v>0</v>
      </c>
      <c r="E32" s="1" t="str">
        <f t="shared" si="3"/>
        <v>Sunday</v>
      </c>
      <c r="F32" s="11" t="str">
        <f t="shared" si="4"/>
        <v>24</v>
      </c>
    </row>
    <row r="33" spans="1:6" x14ac:dyDescent="0.35">
      <c r="A33" s="7" t="s">
        <v>136</v>
      </c>
      <c r="B33" s="11" t="str">
        <f t="shared" si="0"/>
        <v>20032</v>
      </c>
      <c r="C33" s="1" t="str">
        <f t="shared" si="1"/>
        <v>Monday</v>
      </c>
      <c r="D33" s="11" t="str">
        <f t="shared" si="2"/>
        <v>0</v>
      </c>
      <c r="E33" s="1" t="str">
        <f t="shared" si="3"/>
        <v>Sunday</v>
      </c>
      <c r="F33" s="11" t="str">
        <f t="shared" si="4"/>
        <v>24</v>
      </c>
    </row>
    <row r="34" spans="1:6" x14ac:dyDescent="0.35">
      <c r="A34" s="7" t="s">
        <v>137</v>
      </c>
      <c r="B34" s="11" t="str">
        <f t="shared" si="0"/>
        <v>20034</v>
      </c>
      <c r="C34" s="1" t="str">
        <f t="shared" si="1"/>
        <v>Monday</v>
      </c>
      <c r="D34" s="11" t="str">
        <f t="shared" si="2"/>
        <v>0</v>
      </c>
      <c r="E34" s="1" t="str">
        <f t="shared" si="3"/>
        <v>Sunday</v>
      </c>
      <c r="F34" s="11" t="str">
        <f t="shared" si="4"/>
        <v>24</v>
      </c>
    </row>
    <row r="35" spans="1:6" x14ac:dyDescent="0.35">
      <c r="A35" s="7" t="s">
        <v>138</v>
      </c>
      <c r="B35" s="11" t="str">
        <f t="shared" si="0"/>
        <v>20036</v>
      </c>
      <c r="C35" s="1" t="str">
        <f t="shared" si="1"/>
        <v>Monday</v>
      </c>
      <c r="D35" s="11" t="str">
        <f t="shared" si="2"/>
        <v>0</v>
      </c>
      <c r="E35" s="1" t="str">
        <f t="shared" si="3"/>
        <v>Sunday</v>
      </c>
      <c r="F35" s="11" t="str">
        <f t="shared" si="4"/>
        <v>24</v>
      </c>
    </row>
    <row r="36" spans="1:6" x14ac:dyDescent="0.35">
      <c r="A36" s="7" t="s">
        <v>139</v>
      </c>
      <c r="B36" s="11" t="str">
        <f t="shared" si="0"/>
        <v>20038</v>
      </c>
      <c r="C36" s="1" t="str">
        <f t="shared" si="1"/>
        <v>Monday</v>
      </c>
      <c r="D36" s="11" t="str">
        <f t="shared" si="2"/>
        <v>0</v>
      </c>
      <c r="E36" s="1" t="str">
        <f t="shared" si="3"/>
        <v>Sunday</v>
      </c>
      <c r="F36" s="11" t="str">
        <f t="shared" si="4"/>
        <v>24</v>
      </c>
    </row>
    <row r="37" spans="1:6" x14ac:dyDescent="0.35">
      <c r="A37" s="7" t="s">
        <v>140</v>
      </c>
      <c r="B37" s="11" t="str">
        <f t="shared" si="0"/>
        <v>20040</v>
      </c>
      <c r="C37" s="1" t="str">
        <f t="shared" si="1"/>
        <v>Monday</v>
      </c>
      <c r="D37" s="11" t="str">
        <f t="shared" si="2"/>
        <v>0</v>
      </c>
      <c r="E37" s="1" t="str">
        <f t="shared" si="3"/>
        <v>Sunday</v>
      </c>
      <c r="F37" s="11" t="str">
        <f t="shared" si="4"/>
        <v>24</v>
      </c>
    </row>
    <row r="38" spans="1:6" x14ac:dyDescent="0.35">
      <c r="A38" s="7" t="s">
        <v>141</v>
      </c>
      <c r="B38" s="11" t="str">
        <f t="shared" si="0"/>
        <v>20042</v>
      </c>
      <c r="C38" s="1" t="str">
        <f t="shared" si="1"/>
        <v>Monday</v>
      </c>
      <c r="D38" s="11" t="str">
        <f t="shared" si="2"/>
        <v>0</v>
      </c>
      <c r="E38" s="1" t="str">
        <f t="shared" si="3"/>
        <v>Sunday</v>
      </c>
      <c r="F38" s="11" t="str">
        <f t="shared" si="4"/>
        <v>24</v>
      </c>
    </row>
    <row r="39" spans="1:6" x14ac:dyDescent="0.35">
      <c r="A39" s="7" t="s">
        <v>142</v>
      </c>
      <c r="B39" s="11" t="str">
        <f t="shared" si="0"/>
        <v>20044</v>
      </c>
      <c r="C39" s="1" t="str">
        <f t="shared" si="1"/>
        <v>Monday</v>
      </c>
      <c r="D39" s="11" t="str">
        <f t="shared" si="2"/>
        <v>0</v>
      </c>
      <c r="E39" s="1" t="str">
        <f t="shared" si="3"/>
        <v>Sunday</v>
      </c>
      <c r="F39" s="11" t="str">
        <f t="shared" si="4"/>
        <v>24</v>
      </c>
    </row>
    <row r="40" spans="1:6" x14ac:dyDescent="0.35">
      <c r="A40" s="7" t="s">
        <v>143</v>
      </c>
      <c r="B40" s="11" t="str">
        <f t="shared" si="0"/>
        <v>20046</v>
      </c>
      <c r="C40" s="1" t="str">
        <f t="shared" si="1"/>
        <v>Monday</v>
      </c>
      <c r="D40" s="11" t="str">
        <f t="shared" si="2"/>
        <v>0</v>
      </c>
      <c r="E40" s="1" t="str">
        <f t="shared" si="3"/>
        <v>Sunday</v>
      </c>
      <c r="F40" s="11" t="str">
        <f t="shared" si="4"/>
        <v>24</v>
      </c>
    </row>
    <row r="41" spans="1:6" x14ac:dyDescent="0.35">
      <c r="A41" s="7" t="s">
        <v>144</v>
      </c>
      <c r="B41" s="11" t="str">
        <f t="shared" si="0"/>
        <v>20048</v>
      </c>
      <c r="C41" s="1" t="str">
        <f t="shared" si="1"/>
        <v>Monday</v>
      </c>
      <c r="D41" s="11" t="str">
        <f t="shared" si="2"/>
        <v>0</v>
      </c>
      <c r="E41" s="1" t="str">
        <f t="shared" si="3"/>
        <v>Sunday</v>
      </c>
      <c r="F41" s="11" t="str">
        <f t="shared" si="4"/>
        <v>24</v>
      </c>
    </row>
    <row r="42" spans="1:6" x14ac:dyDescent="0.35">
      <c r="A42" s="7" t="s">
        <v>145</v>
      </c>
      <c r="B42" s="11" t="str">
        <f t="shared" si="0"/>
        <v>20050</v>
      </c>
      <c r="C42" s="1" t="str">
        <f t="shared" si="1"/>
        <v>Monday</v>
      </c>
      <c r="D42" s="11" t="str">
        <f t="shared" si="2"/>
        <v>0</v>
      </c>
      <c r="E42" s="1" t="str">
        <f t="shared" si="3"/>
        <v>Sunday</v>
      </c>
      <c r="F42" s="11" t="str">
        <f t="shared" si="4"/>
        <v>24</v>
      </c>
    </row>
    <row r="43" spans="1:6" x14ac:dyDescent="0.35">
      <c r="A43" s="7" t="s">
        <v>146</v>
      </c>
      <c r="B43" s="11" t="str">
        <f t="shared" si="0"/>
        <v>20052</v>
      </c>
      <c r="C43" s="1" t="str">
        <f t="shared" si="1"/>
        <v>Monday</v>
      </c>
      <c r="D43" s="11" t="str">
        <f t="shared" si="2"/>
        <v>0</v>
      </c>
      <c r="E43" s="1" t="str">
        <f t="shared" si="3"/>
        <v>Sunday</v>
      </c>
      <c r="F43" s="11" t="str">
        <f t="shared" si="4"/>
        <v>24</v>
      </c>
    </row>
    <row r="44" spans="1:6" x14ac:dyDescent="0.35">
      <c r="A44" s="7" t="s">
        <v>147</v>
      </c>
      <c r="B44" s="11" t="str">
        <f t="shared" si="0"/>
        <v>20054</v>
      </c>
      <c r="C44" s="1" t="str">
        <f t="shared" si="1"/>
        <v>Monday</v>
      </c>
      <c r="D44" s="11" t="str">
        <f t="shared" si="2"/>
        <v>0</v>
      </c>
      <c r="E44" s="1" t="str">
        <f t="shared" si="3"/>
        <v>Sunday</v>
      </c>
      <c r="F44" s="11" t="str">
        <f t="shared" si="4"/>
        <v>24</v>
      </c>
    </row>
    <row r="45" spans="1:6" x14ac:dyDescent="0.35">
      <c r="A45" s="7" t="s">
        <v>148</v>
      </c>
      <c r="B45" s="11" t="str">
        <f t="shared" si="0"/>
        <v>20058</v>
      </c>
      <c r="C45" s="1" t="str">
        <f t="shared" si="1"/>
        <v>Monday</v>
      </c>
      <c r="D45" s="11" t="str">
        <f t="shared" si="2"/>
        <v>0</v>
      </c>
      <c r="E45" s="1" t="str">
        <f t="shared" si="3"/>
        <v>Sunday</v>
      </c>
      <c r="F45" s="11" t="str">
        <f t="shared" si="4"/>
        <v>24</v>
      </c>
    </row>
    <row r="46" spans="1:6" x14ac:dyDescent="0.35">
      <c r="A46" s="7" t="s">
        <v>149</v>
      </c>
      <c r="B46" s="11" t="str">
        <f t="shared" si="0"/>
        <v>20060</v>
      </c>
      <c r="C46" s="1" t="str">
        <f t="shared" si="1"/>
        <v>Monday</v>
      </c>
      <c r="D46" s="11" t="str">
        <f t="shared" si="2"/>
        <v>0</v>
      </c>
      <c r="E46" s="1" t="str">
        <f t="shared" si="3"/>
        <v>Sunday</v>
      </c>
      <c r="F46" s="11" t="str">
        <f t="shared" si="4"/>
        <v>24</v>
      </c>
    </row>
    <row r="47" spans="1:6" x14ac:dyDescent="0.35">
      <c r="A47" s="7" t="s">
        <v>111</v>
      </c>
      <c r="B47" s="11" t="str">
        <f t="shared" si="0"/>
        <v>21000</v>
      </c>
      <c r="C47" s="1" t="str">
        <f t="shared" si="1"/>
        <v>Monday</v>
      </c>
      <c r="D47" s="11" t="str">
        <f t="shared" si="2"/>
        <v>0</v>
      </c>
      <c r="E47" s="1" t="str">
        <f t="shared" si="3"/>
        <v>Sunday</v>
      </c>
      <c r="F47" s="11" t="str">
        <f t="shared" si="4"/>
        <v>24</v>
      </c>
    </row>
    <row r="48" spans="1:6" x14ac:dyDescent="0.35">
      <c r="A48" s="7" t="s">
        <v>112</v>
      </c>
      <c r="B48" s="11" t="str">
        <f t="shared" si="0"/>
        <v>21002</v>
      </c>
      <c r="C48" s="1" t="str">
        <f t="shared" si="1"/>
        <v>Monday</v>
      </c>
      <c r="D48" s="11" t="str">
        <f t="shared" si="2"/>
        <v>0</v>
      </c>
      <c r="E48" s="1" t="str">
        <f t="shared" si="3"/>
        <v>Sunday</v>
      </c>
      <c r="F48" s="11" t="str">
        <f t="shared" si="4"/>
        <v>24</v>
      </c>
    </row>
    <row r="49" spans="1:6" x14ac:dyDescent="0.35">
      <c r="A49" s="7" t="s">
        <v>113</v>
      </c>
      <c r="B49" s="11" t="str">
        <f t="shared" si="0"/>
        <v>21004</v>
      </c>
      <c r="C49" s="1" t="str">
        <f t="shared" si="1"/>
        <v>Monday</v>
      </c>
      <c r="D49" s="11" t="str">
        <f t="shared" si="2"/>
        <v>0</v>
      </c>
      <c r="E49" s="1" t="str">
        <f t="shared" si="3"/>
        <v>Sunday</v>
      </c>
      <c r="F49" s="11" t="str">
        <f t="shared" si="4"/>
        <v>24</v>
      </c>
    </row>
    <row r="50" spans="1:6" x14ac:dyDescent="0.35">
      <c r="A50" s="7" t="s">
        <v>114</v>
      </c>
      <c r="B50" s="11" t="str">
        <f t="shared" si="0"/>
        <v>21006</v>
      </c>
      <c r="C50" s="1" t="str">
        <f t="shared" si="1"/>
        <v>Monday</v>
      </c>
      <c r="D50" s="11" t="str">
        <f t="shared" si="2"/>
        <v>0</v>
      </c>
      <c r="E50" s="1" t="str">
        <f t="shared" si="3"/>
        <v>Sunday</v>
      </c>
      <c r="F50" s="11" t="str">
        <f t="shared" si="4"/>
        <v>24</v>
      </c>
    </row>
    <row r="51" spans="1:6" x14ac:dyDescent="0.35">
      <c r="A51" s="7" t="s">
        <v>115</v>
      </c>
      <c r="B51" s="11" t="str">
        <f t="shared" si="0"/>
        <v>21008</v>
      </c>
      <c r="C51" s="1" t="str">
        <f t="shared" si="1"/>
        <v>Monday</v>
      </c>
      <c r="D51" s="11" t="str">
        <f t="shared" si="2"/>
        <v>0</v>
      </c>
      <c r="E51" s="1" t="str">
        <f t="shared" si="3"/>
        <v>Sunday</v>
      </c>
      <c r="F51" s="11" t="str">
        <f t="shared" si="4"/>
        <v>24</v>
      </c>
    </row>
    <row r="52" spans="1:6" x14ac:dyDescent="0.35">
      <c r="A52" s="7" t="s">
        <v>116</v>
      </c>
      <c r="B52" s="11" t="str">
        <f t="shared" si="0"/>
        <v>21010</v>
      </c>
      <c r="C52" s="1" t="str">
        <f t="shared" si="1"/>
        <v>Monday</v>
      </c>
      <c r="D52" s="11" t="str">
        <f t="shared" si="2"/>
        <v>0</v>
      </c>
      <c r="E52" s="1" t="str">
        <f t="shared" si="3"/>
        <v>Sunday</v>
      </c>
      <c r="F52" s="11" t="str">
        <f t="shared" si="4"/>
        <v>24</v>
      </c>
    </row>
    <row r="53" spans="1:6" x14ac:dyDescent="0.35">
      <c r="A53" s="7" t="s">
        <v>117</v>
      </c>
      <c r="B53" s="11" t="str">
        <f t="shared" si="0"/>
        <v>21012</v>
      </c>
      <c r="C53" s="1" t="str">
        <f t="shared" si="1"/>
        <v>Monday</v>
      </c>
      <c r="D53" s="11" t="str">
        <f t="shared" si="2"/>
        <v>0</v>
      </c>
      <c r="E53" s="1" t="str">
        <f t="shared" si="3"/>
        <v>Sunday</v>
      </c>
      <c r="F53" s="11" t="str">
        <f t="shared" si="4"/>
        <v>24</v>
      </c>
    </row>
    <row r="54" spans="1:6" x14ac:dyDescent="0.35">
      <c r="A54" s="7" t="s">
        <v>118</v>
      </c>
      <c r="B54" s="11" t="str">
        <f t="shared" si="0"/>
        <v>21014</v>
      </c>
      <c r="C54" s="1" t="str">
        <f t="shared" si="1"/>
        <v>Monday</v>
      </c>
      <c r="D54" s="11" t="str">
        <f t="shared" si="2"/>
        <v>0</v>
      </c>
      <c r="E54" s="1" t="str">
        <f t="shared" si="3"/>
        <v>Sunday</v>
      </c>
      <c r="F54" s="11" t="str">
        <f t="shared" si="4"/>
        <v>24</v>
      </c>
    </row>
    <row r="55" spans="1:6" x14ac:dyDescent="0.35">
      <c r="A55" s="9" t="s">
        <v>119</v>
      </c>
      <c r="B55" s="11" t="str">
        <f t="shared" si="0"/>
        <v>21016</v>
      </c>
      <c r="C55" s="1" t="str">
        <f t="shared" si="1"/>
        <v>Monday</v>
      </c>
      <c r="D55" s="11" t="str">
        <f t="shared" si="2"/>
        <v>0</v>
      </c>
      <c r="E55" s="1" t="str">
        <f t="shared" si="3"/>
        <v>Sunday</v>
      </c>
      <c r="F55"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topLeftCell="A8" zoomScaleNormal="100" workbookViewId="0">
      <selection activeCell="H16" sqref="H16"/>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0" t="s">
        <v>85</v>
      </c>
      <c r="B1" s="39" t="s">
        <v>166</v>
      </c>
    </row>
    <row r="2" spans="1:3" ht="18.5" x14ac:dyDescent="0.45">
      <c r="B2" s="38" t="s">
        <v>165</v>
      </c>
    </row>
    <row r="5" spans="1:3" ht="14.5" x14ac:dyDescent="0.35">
      <c r="B5" s="1" t="s">
        <v>150</v>
      </c>
    </row>
    <row r="6" spans="1:3" ht="14.5" x14ac:dyDescent="0.35">
      <c r="A6" s="3" t="s">
        <v>53</v>
      </c>
      <c r="B6" s="1" t="s">
        <v>184</v>
      </c>
    </row>
    <row r="7" spans="1:3" ht="14.5" x14ac:dyDescent="0.35">
      <c r="A7" s="3" t="s">
        <v>152</v>
      </c>
      <c r="B7" s="1" t="s">
        <v>183</v>
      </c>
    </row>
    <row r="10" spans="1:3" ht="23.5" x14ac:dyDescent="0.55000000000000004">
      <c r="A10" s="17" t="s">
        <v>161</v>
      </c>
    </row>
    <row r="11" spans="1:3" ht="14.5" x14ac:dyDescent="0.35">
      <c r="A11" s="31" t="s">
        <v>86</v>
      </c>
      <c r="B11" s="16" t="s">
        <v>87</v>
      </c>
      <c r="C11" s="16" t="s">
        <v>88</v>
      </c>
    </row>
    <row r="12" spans="1:3" ht="14.5" x14ac:dyDescent="0.35">
      <c r="A12" s="31">
        <v>44927</v>
      </c>
      <c r="B12" s="16" t="s">
        <v>59</v>
      </c>
      <c r="C12" s="16">
        <v>200</v>
      </c>
    </row>
    <row r="13" spans="1:3" ht="14.5" x14ac:dyDescent="0.35">
      <c r="A13" s="31">
        <v>44928</v>
      </c>
      <c r="B13" s="16" t="s">
        <v>60</v>
      </c>
      <c r="C13" s="16">
        <f>SUM(IFERROR(C2:C11, 20))</f>
        <v>20</v>
      </c>
    </row>
    <row r="14" spans="1:3" ht="14.5" x14ac:dyDescent="0.35">
      <c r="A14" s="31">
        <v>44929</v>
      </c>
      <c r="B14" s="16" t="s">
        <v>61</v>
      </c>
      <c r="C14" s="16">
        <v>50</v>
      </c>
    </row>
    <row r="15" spans="1:3" ht="14.5" x14ac:dyDescent="0.35">
      <c r="A15" s="31">
        <v>44930</v>
      </c>
      <c r="B15" s="16" t="s">
        <v>62</v>
      </c>
      <c r="C15" s="16">
        <f>SUM(IFERROR(C2:C11, 20))</f>
        <v>20</v>
      </c>
    </row>
    <row r="16" spans="1:3" ht="14.5" x14ac:dyDescent="0.35">
      <c r="A16" s="31">
        <v>44931</v>
      </c>
      <c r="B16" s="16" t="s">
        <v>63</v>
      </c>
      <c r="C16" s="16">
        <v>10</v>
      </c>
    </row>
    <row r="17" spans="1:3" ht="14.5" x14ac:dyDescent="0.35">
      <c r="A17" s="31">
        <v>44932</v>
      </c>
      <c r="B17" s="16" t="s">
        <v>153</v>
      </c>
      <c r="C17" s="16">
        <v>150</v>
      </c>
    </row>
    <row r="18" spans="1:3" ht="14.5" x14ac:dyDescent="0.35">
      <c r="A18" s="31">
        <v>44933</v>
      </c>
      <c r="B18" s="16" t="s">
        <v>154</v>
      </c>
      <c r="C18" s="16">
        <v>80</v>
      </c>
    </row>
    <row r="19" spans="1:3" ht="14.5" x14ac:dyDescent="0.35">
      <c r="A19" s="31">
        <v>44934</v>
      </c>
      <c r="B19" s="16" t="s">
        <v>155</v>
      </c>
      <c r="C19" s="16">
        <f>SUM(IFERROR(C2:C11, 20))</f>
        <v>20</v>
      </c>
    </row>
    <row r="20" spans="1:3" ht="14.5" x14ac:dyDescent="0.35">
      <c r="A20" s="31">
        <v>44935</v>
      </c>
      <c r="B20" s="16" t="s">
        <v>156</v>
      </c>
      <c r="C20" s="16">
        <v>30</v>
      </c>
    </row>
    <row r="21" spans="1:3" ht="14.5" x14ac:dyDescent="0.35">
      <c r="A21" s="31">
        <v>44936</v>
      </c>
      <c r="B21" s="16" t="s">
        <v>157</v>
      </c>
      <c r="C21" s="16">
        <f>SUM(IFERROR(C2:C11, 20))</f>
        <v>20</v>
      </c>
    </row>
    <row r="22" spans="1:3" ht="14.5" x14ac:dyDescent="0.35">
      <c r="B22" s="16" t="s">
        <v>158</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opLeftCell="A15" zoomScaleNormal="100" workbookViewId="0">
      <selection activeCell="K21" sqref="K21"/>
    </sheetView>
  </sheetViews>
  <sheetFormatPr defaultColWidth="11" defaultRowHeight="13" x14ac:dyDescent="0.3"/>
  <cols>
    <col min="1" max="1" width="28.19921875" style="2" bestFit="1" customWidth="1"/>
    <col min="2" max="16384" width="11" style="2"/>
  </cols>
  <sheetData>
    <row r="1" spans="1:14" ht="21" x14ac:dyDescent="0.5">
      <c r="A1" s="40" t="s">
        <v>98</v>
      </c>
      <c r="B1" s="39" t="s">
        <v>174</v>
      </c>
    </row>
    <row r="3" spans="1:14" ht="14.5" x14ac:dyDescent="0.35">
      <c r="B3" s="1" t="s">
        <v>150</v>
      </c>
    </row>
    <row r="4" spans="1:14" ht="18.5" x14ac:dyDescent="0.45">
      <c r="A4" s="41" t="s">
        <v>53</v>
      </c>
      <c r="B4" s="1"/>
      <c r="C4" s="2" t="s">
        <v>186</v>
      </c>
    </row>
    <row r="5" spans="1:14" ht="18.5" x14ac:dyDescent="0.45">
      <c r="A5" s="41" t="s">
        <v>152</v>
      </c>
      <c r="B5" s="1"/>
      <c r="C5" s="2" t="s">
        <v>185</v>
      </c>
    </row>
    <row r="6" spans="1:14" ht="14.5" x14ac:dyDescent="0.35">
      <c r="A6" s="3"/>
      <c r="B6" s="1"/>
    </row>
    <row r="8" spans="1:14" ht="23.5" x14ac:dyDescent="0.55000000000000004">
      <c r="A8" s="17" t="s">
        <v>161</v>
      </c>
      <c r="M8" s="17" t="s">
        <v>162</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167</v>
      </c>
    </row>
    <row r="22" spans="1:14" ht="14.5" x14ac:dyDescent="0.35">
      <c r="A22" s="13" t="s">
        <v>100</v>
      </c>
      <c r="B22" s="16" t="s">
        <v>101</v>
      </c>
      <c r="C22" s="15" t="s">
        <v>102</v>
      </c>
    </row>
    <row r="23" spans="1:14" ht="14.5" x14ac:dyDescent="0.35">
      <c r="A23" s="7">
        <v>10100</v>
      </c>
      <c r="B23" s="11">
        <v>10102</v>
      </c>
      <c r="C23" s="42">
        <f>IFERROR(INDEX($A$9:$J$18, MATCH(VLOOKUP(A23, $M$10:$N$18, 2, FALSE), $A$9:$A$18, 0), MATCH(VLOOKUP(B23, $M$10:$N$18, 2, FALSE), $A$9:$J$9, 0)), "")</f>
        <v>95</v>
      </c>
    </row>
    <row r="24" spans="1:14" ht="14.5" x14ac:dyDescent="0.35">
      <c r="A24" s="7">
        <v>10100</v>
      </c>
      <c r="B24" s="11">
        <v>10104</v>
      </c>
      <c r="C24" s="42">
        <f t="shared" ref="C23:C34" si="0">IFERROR(INDEX($A$9:$J$18, MATCH(VLOOKUP(A24, $M$10:$N$18, 2, FALSE), $A$9:$A$18, 0), MATCH(VLOOKUP(B24, $M$10:$N$18, 2, FALSE), $A$9:$J$9, 0)), "")</f>
        <v>-1</v>
      </c>
    </row>
    <row r="25" spans="1:14" ht="14.5" x14ac:dyDescent="0.35">
      <c r="A25" s="7">
        <v>10108</v>
      </c>
      <c r="B25" s="11">
        <v>10102</v>
      </c>
      <c r="C25" s="42">
        <f t="shared" si="0"/>
        <v>160</v>
      </c>
    </row>
    <row r="26" spans="1:14" ht="14.5" x14ac:dyDescent="0.35">
      <c r="A26" s="7">
        <v>10100</v>
      </c>
      <c r="B26" s="11">
        <v>10106</v>
      </c>
      <c r="C26" s="42">
        <f t="shared" si="0"/>
        <v>185</v>
      </c>
    </row>
    <row r="27" spans="1:14" ht="14.5" x14ac:dyDescent="0.35">
      <c r="A27" s="7">
        <v>10108</v>
      </c>
      <c r="B27" s="11">
        <v>10110</v>
      </c>
      <c r="C27" s="42">
        <f t="shared" si="0"/>
        <v>50</v>
      </c>
    </row>
    <row r="28" spans="1:14" ht="14.5" x14ac:dyDescent="0.35">
      <c r="A28" s="7">
        <v>10102</v>
      </c>
      <c r="B28" s="11">
        <v>10104</v>
      </c>
      <c r="C28" s="42">
        <f t="shared" si="0"/>
        <v>-1</v>
      </c>
    </row>
    <row r="29" spans="1:14" ht="14.5" x14ac:dyDescent="0.35">
      <c r="A29" s="7">
        <v>10106</v>
      </c>
      <c r="B29" s="11">
        <v>10108</v>
      </c>
      <c r="C29" s="42">
        <f t="shared" si="0"/>
        <v>70</v>
      </c>
    </row>
    <row r="30" spans="1:14" ht="14.5" x14ac:dyDescent="0.35">
      <c r="A30" s="7">
        <v>10102</v>
      </c>
      <c r="B30" s="11">
        <v>10106</v>
      </c>
      <c r="C30" s="42">
        <f t="shared" si="0"/>
        <v>90</v>
      </c>
    </row>
    <row r="31" spans="1:14" ht="14.5" x14ac:dyDescent="0.35">
      <c r="A31" s="7">
        <v>10110</v>
      </c>
      <c r="B31" s="11">
        <v>10114</v>
      </c>
      <c r="C31" s="42">
        <f t="shared" si="0"/>
        <v>180</v>
      </c>
    </row>
    <row r="32" spans="1:14" ht="14.5" x14ac:dyDescent="0.35">
      <c r="A32" s="7">
        <v>10104</v>
      </c>
      <c r="B32" s="11">
        <v>10106</v>
      </c>
      <c r="C32" s="42">
        <f t="shared" si="0"/>
        <v>60</v>
      </c>
    </row>
    <row r="33" spans="1:3" ht="14.5" x14ac:dyDescent="0.35">
      <c r="A33" s="7">
        <v>10110</v>
      </c>
      <c r="B33" s="11">
        <v>10112</v>
      </c>
      <c r="C33" s="42">
        <f t="shared" si="0"/>
        <v>115</v>
      </c>
    </row>
    <row r="34" spans="1:3" ht="14.5" x14ac:dyDescent="0.35">
      <c r="A34" s="7">
        <v>10100</v>
      </c>
      <c r="B34" s="11">
        <v>10114</v>
      </c>
      <c r="C34" s="42">
        <f t="shared" si="0"/>
        <v>480</v>
      </c>
    </row>
    <row r="35" spans="1:3" ht="14.5" x14ac:dyDescent="0.35">
      <c r="A35" s="9">
        <v>10112</v>
      </c>
      <c r="B35" s="12">
        <v>10116</v>
      </c>
      <c r="C35" s="42">
        <f>IFERROR(INDEX($A$9:$J$18, MATCH(VLOOKUP(A35, $M$10:$N$18, 2, FALSE), $A$9:$A$18, 0), MATCH(VLOOKUP(B35, $M$10:$N$18, 2, FALSE), $A$9:$J$9, 0)), "")</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Reddy</cp:lastModifiedBy>
  <dcterms:created xsi:type="dcterms:W3CDTF">2015-02-10T17:33:11Z</dcterms:created>
  <dcterms:modified xsi:type="dcterms:W3CDTF">2024-10-22T08:20:44Z</dcterms:modified>
</cp:coreProperties>
</file>